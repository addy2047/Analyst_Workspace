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ch\Desktop\client project\"/>
    </mc:Choice>
  </mc:AlternateContent>
  <xr:revisionPtr revIDLastSave="0" documentId="13_ncr:1_{99D4EC14-1AED-4CA8-86A9-9D0A96B1D94F}" xr6:coauthVersionLast="47" xr6:coauthVersionMax="47" xr10:uidLastSave="{00000000-0000-0000-0000-000000000000}"/>
  <bookViews>
    <workbookView xWindow="-108" yWindow="-108" windowWidth="23256" windowHeight="12456" xr2:uid="{E5FAAC5E-266B-4D71-9834-C0FF70B3DD3F}"/>
  </bookViews>
  <sheets>
    <sheet name="project_supply_chain_data" sheetId="1" r:id="rId1"/>
    <sheet name="Sheet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<sst xmlns="http://schemas.openxmlformats.org/spreadsheetml/2006/main" count="3652" uniqueCount="157">
  <si>
    <t>Product_type</t>
  </si>
  <si>
    <t>SKU</t>
  </si>
  <si>
    <t>Price</t>
  </si>
  <si>
    <t>Availability</t>
  </si>
  <si>
    <t>Number_of_products_sold</t>
  </si>
  <si>
    <t>Revenue_generated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</si>
  <si>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</si>
  <si>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</si>
  <si>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</si>
  <si>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</si>
  <si>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</si>
  <si>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</si>
  <si>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</si>
  <si>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</si>
  <si>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</si>
  <si>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Lead_time</t>
  </si>
  <si>
    <t>Production_volumes</t>
  </si>
  <si>
    <t>Manufacturing_lead_time</t>
  </si>
  <si>
    <t>Manufacturing_costs</t>
  </si>
  <si>
    <t>Inspection_results</t>
  </si>
  <si>
    <t>Defect_rates</t>
  </si>
  <si>
    <t>Transportation_modes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</si>
  <si>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</si>
  <si>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</si>
  <si>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</si>
  <si>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</si>
  <si>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</si>
  <si>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</si>
  <si>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</si>
  <si>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</si>
  <si>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</si>
  <si>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</si>
  <si>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</si>
  <si>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</si>
  <si>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</si>
  <si>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</si>
  <si>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</si>
  <si>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</si>
  <si>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</si>
  <si>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</si>
  <si>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</si>
  <si>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</si>
  <si>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</si>
  <si>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</si>
  <si>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</si>
  <si>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</si>
  <si>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</si>
  <si>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</si>
  <si>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</si>
  <si>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</si>
  <si>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</si>
  <si>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</si>
  <si>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</si>
  <si>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</si>
  <si>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</si>
  <si>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</si>
  <si>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</si>
  <si>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</si>
  <si>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</si>
  <si>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</si>
  <si>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</si>
  <si>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</si>
  <si>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</si>
  <si>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</si>
  <si>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</si>
  <si>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</si>
  <si>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</si>
  <si>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</si>
  <si>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</si>
  <si>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</si>
  <si>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</si>
  <si>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</si>
  <si>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</si>
  <si>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</si>
  <si>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</si>
  <si>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</si>
  <si>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</si>
  <si>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</si>
  <si>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</si>
  <si>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</si>
  <si>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</si>
  <si>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</si>
  <si>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</si>
  <si>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</si>
  <si>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</si>
  <si>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</si>
  <si>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</si>
  <si>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</si>
  <si>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</si>
  <si>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</si>
  <si>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</si>
  <si>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</si>
  <si>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</si>
  <si>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</si>
  <si>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</si>
  <si>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</si>
  <si>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</si>
  <si>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</si>
  <si>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</si>
  <si>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</si>
  <si>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</si>
  <si>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</si>
  <si>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</si>
  <si>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</si>
  <si>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</si>
  <si>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</si>
  <si>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</si>
  <si>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</si>
  <si>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</si>
  <si>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</si>
  <si>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</si>
  <si>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</si>
  <si>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</si>
  <si>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</si>
  <si>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</si>
  <si>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</si>
  <si>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</si>
  <si>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</si>
  <si>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</si>
  <si>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</si>
  <si>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</si>
  <si>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</si>
  <si>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</si>
  <si>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</si>
  <si>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</si>
  <si>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</si>
  <si>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</si>
  <si>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</si>
  <si>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</si>
  <si>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</si>
  <si>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</si>
  <si>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</si>
  <si>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</si>
  <si>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</si>
  <si>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</si>
  <si>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</si>
  <si>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</si>
  <si>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</si>
  <si>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</si>
  <si>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</si>
  <si>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</si>
  <si>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</si>
  <si>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</si>
  <si>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</si>
  <si>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</si>
  <si>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</si>
  <si>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</si>
  <si>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</si>
  <si>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</si>
  <si>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</si>
  <si>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</si>
  <si>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</si>
  <si>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</si>
  <si>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</si>
  <si>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Row Labels</t>
  </si>
  <si>
    <t>Count of Customer_demographics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</si>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</sst>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r panchal" refreshedDate="46021.64680613426" createdVersion="8" refreshedVersion="8" minRefreshableVersion="3" recordCount="400" xr:uid="{46B6F3B7-7089-4C0F-B70A-59FDD76E58A1}">
  <cacheSource type="worksheet">
    <worksheetSource name="Table1"/>
  </cacheSource>
  <cacheFields count="24">
    <cacheField name="Product_type" numFmtId="0">
      <sharedItems/>
    </cacheField>
    <cacheField name="SKU" numFmtId="0">
      <sharedItems/>
    </cacheField>
    <cacheField name="Price" numFmtId="0">
      <sharedItems containsSemiMixedTypes="0" containsString="0" containsNumber="1" minValue="1.699976014" maxValue="99.171328639999999"/>
    </cacheField>
    <cacheField name="Availability" numFmtId="0">
      <sharedItems containsSemiMixedTypes="0" containsString="0" containsNumber="1" containsInteger="1" minValue="1" maxValue="100"/>
    </cacheField>
    <cacheField name="Number_of_products_sold" numFmtId="0">
      <sharedItems containsSemiMixedTypes="0" containsString="0" containsNumber="1" containsInteger="1" minValue="8" maxValue="996"/>
    </cacheField>
    <cacheField name="Revenue_generated" numFmtId="0">
      <sharedItems containsSemiMixedTypes="0" containsString="0" containsNumber="1" minValue="1061.6185230000001" maxValue="9866.4654580000006"/>
    </cacheField>
    <cacheField name="Customer_demographics" numFmtId="0">
      <sharedItems count="4">
        <s v="Non-binary"/>
        <s v="Female"/>
        <s v="Unknown"/>
        <s v="Male"/>
      </sharedItems>
    </cacheField>
    <cacheField name="Stock_levels" numFmtId="0">
      <sharedItems containsSemiMixedTypes="0" containsString="0" containsNumber="1" containsInteger="1" minValue="0" maxValue="100"/>
    </cacheField>
    <cacheField name="Lead_times" numFmtId="0">
      <sharedItems containsSemiMixedTypes="0" containsString="0" containsNumber="1" containsInteger="1" minValue="1" maxValue="30"/>
    </cacheField>
    <cacheField name="Order_quantities" numFmtId="0">
      <sharedItems containsSemiMixedTypes="0" containsString="0" containsNumber="1" containsInteger="1" minValue="1" maxValue="96"/>
    </cacheField>
    <cacheField name="Shipping_times" numFmtId="0">
      <sharedItems containsSemiMixedTypes="0" containsString="0" containsNumber="1" containsInteger="1" minValue="1" maxValue="10"/>
    </cacheField>
    <cacheField name="Shipping_carriers" numFmtId="0">
      <sharedItems/>
    </cacheField>
    <cacheField name="Shipping_costs" numFmtId="0">
      <sharedItems containsSemiMixedTypes="0" containsString="0" containsNumber="1" minValue="1.0134865660000001" maxValue="9.9298162449999996"/>
    </cacheField>
    <cacheField name="Supplier_name" numFmtId="0">
      <sharedItems/>
    </cacheField>
    <cacheField name="Location" numFmtId="0">
      <sharedItems count="5">
        <s v="Mumbai"/>
        <s v="Kolkata"/>
        <s v="Delhi"/>
        <s v="Bangalore"/>
        <s v="Chennai"/>
      </sharedItems>
    </cacheField>
    <cacheField name="Lead_time" numFmtId="0">
      <sharedItems containsSemiMixedTypes="0" containsString="0" containsNumber="1" containsInteger="1" minValue="1" maxValue="30"/>
    </cacheField>
    <cacheField name="Production_volumes" numFmtId="0">
      <sharedItems containsSemiMixedTypes="0" containsString="0" containsNumber="1" containsInteger="1" minValue="104" maxValue="985"/>
    </cacheField>
    <cacheField name="Manufacturing_lead_time" numFmtId="0">
      <sharedItems containsSemiMixedTypes="0" containsString="0" containsNumber="1" containsInteger="1" minValue="1" maxValue="30"/>
    </cacheField>
    <cacheField name="Manufacturing_costs" numFmtId="0">
      <sharedItems containsSemiMixedTypes="0" containsString="0" containsNumber="1" minValue="1.08506857" maxValue="99.466108599999998"/>
    </cacheField>
    <cacheField name="Inspection_results" numFmtId="0">
      <sharedItems/>
    </cacheField>
    <cacheField name="Defect_rates" numFmtId="0">
      <sharedItems containsSemiMixedTypes="0" containsString="0" containsNumber="1" minValue="1.8607568000000001E-2" maxValue="4.9392552890000001"/>
    </cacheField>
    <cacheField name="Transportation_modes" numFmtId="0">
      <sharedItems/>
    </cacheField>
    <cacheField name="Routes" numFmtId="0">
      <sharedItems/>
    </cacheField>
    <cacheField name="Costs" numFmtId="0">
      <sharedItems containsSemiMixedTypes="0" containsString="0" containsNumber="1" minValue="103.916248" maxValue="997.413450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s v="haircare"/>
    <s v="SKU0"/>
    <n v="69.808005539999996"/>
    <n v="55"/>
    <n v="802"/>
    <n v="8661.9967919999999"/>
    <x v="0"/>
    <n v="58"/>
    <n v="7"/>
    <n v="96"/>
    <n v="4"/>
    <s v="Carrier B"/>
    <n v="2.9565721389999999"/>
    <s v="Supplier 3"/>
    <x v="0"/>
    <n v="29"/>
    <n v="215"/>
    <n v="29"/>
    <n v="46.27987924"/>
    <s v="Pending"/>
    <n v="0.226410361"/>
    <s v="Road"/>
    <s v="Route B"/>
    <n v="187.75207549999999"/>
  </r>
  <r>
    <s v="skincare"/>
    <s v="SKU1"/>
    <n v="14.843523279999999"/>
    <n v="95"/>
    <n v="736"/>
    <n v="7460.9000649999998"/>
    <x v="1"/>
    <n v="53"/>
    <n v="30"/>
    <n v="37"/>
    <n v="2"/>
    <s v="Carrier A"/>
    <n v="9.7165747709999994"/>
    <s v="Supplier 3"/>
    <x v="0"/>
    <n v="23"/>
    <n v="517"/>
    <n v="30"/>
    <n v="33.616768950000001"/>
    <s v="Pending"/>
    <n v="4.8540680260000002"/>
    <s v="Road"/>
    <s v="Route B"/>
    <n v="503.06557909999998"/>
  </r>
  <r>
    <s v="haircare"/>
    <s v="SKU2"/>
    <n v="11.31968329"/>
    <n v="34"/>
    <n v="8"/>
    <n v="9577.7496260000007"/>
    <x v="2"/>
    <n v="1"/>
    <n v="10"/>
    <n v="88"/>
    <n v="2"/>
    <s v="Carrier B"/>
    <n v="8.0544792619999992"/>
    <s v="Supplier 1"/>
    <x v="0"/>
    <n v="12"/>
    <n v="971"/>
    <n v="27"/>
    <n v="30.688019350000001"/>
    <s v="Pending"/>
    <n v="4.5805926189999999"/>
    <s v="Air"/>
    <s v="Route C"/>
    <n v="141.9202818"/>
  </r>
  <r>
    <s v="skincare"/>
    <s v="SKU3"/>
    <n v="61.163343019999999"/>
    <n v="68"/>
    <n v="83"/>
    <n v="7766.8364259999998"/>
    <x v="0"/>
    <n v="23"/>
    <n v="13"/>
    <n v="59"/>
    <n v="6"/>
    <s v="Carrier C"/>
    <n v="1.729568564"/>
    <s v="Supplier 5"/>
    <x v="1"/>
    <n v="24"/>
    <n v="937"/>
    <n v="18"/>
    <n v="35.624741399999998"/>
    <s v="Fail"/>
    <n v="4.7466486210000003"/>
    <s v="Rail"/>
    <s v="Route A"/>
    <n v="254.7761592"/>
  </r>
  <r>
    <s v="skincare"/>
    <s v="SKU4"/>
    <n v="4.8054960360000001"/>
    <n v="26"/>
    <n v="871"/>
    <n v="2686.5051520000002"/>
    <x v="0"/>
    <n v="5"/>
    <n v="3"/>
    <n v="56"/>
    <n v="8"/>
    <s v="Carrier A"/>
    <n v="3.8905479160000001"/>
    <s v="Supplier 1"/>
    <x v="2"/>
    <n v="5"/>
    <n v="414"/>
    <n v="3"/>
    <n v="92.065160599999999"/>
    <s v="Fail"/>
    <n v="3.1455795229999999"/>
    <s v="Air"/>
    <s v="Route A"/>
    <n v="923.44063170000004"/>
  </r>
  <r>
    <s v="haircare"/>
    <s v="SKU5"/>
    <n v="1.699976014"/>
    <n v="87"/>
    <n v="147"/>
    <n v="2828.3487460000001"/>
    <x v="0"/>
    <n v="90"/>
    <n v="27"/>
    <n v="66"/>
    <n v="3"/>
    <s v="Carrier B"/>
    <n v="4.4440988639999999"/>
    <s v="Supplier 4"/>
    <x v="3"/>
    <n v="10"/>
    <n v="104"/>
    <n v="17"/>
    <n v="56.766475560000003"/>
    <s v="Fail"/>
    <n v="2.779193512"/>
    <s v="Road"/>
    <s v="Route A"/>
    <n v="235.4612367"/>
  </r>
  <r>
    <s v="skincare"/>
    <s v="SKU6"/>
    <n v="4.078332863"/>
    <n v="48"/>
    <n v="65"/>
    <n v="7823.4765600000001"/>
    <x v="3"/>
    <n v="11"/>
    <n v="15"/>
    <n v="58"/>
    <n v="8"/>
    <s v="Carrier C"/>
    <n v="3.8807633030000002"/>
    <s v="Supplier 3"/>
    <x v="1"/>
    <n v="14"/>
    <n v="314"/>
    <n v="24"/>
    <n v="1.08506857"/>
    <s v="Pending"/>
    <n v="1.0009106189999999"/>
    <s v="Sea"/>
    <s v="Route A"/>
    <n v="134.36909689999999"/>
  </r>
  <r>
    <s v="cosmetics"/>
    <s v="SKU7"/>
    <n v="42.958384379999998"/>
    <n v="59"/>
    <n v="426"/>
    <n v="8496.1038129999997"/>
    <x v="1"/>
    <n v="93"/>
    <n v="17"/>
    <n v="11"/>
    <n v="1"/>
    <s v="Carrier B"/>
    <n v="2.3483387840000001"/>
    <s v="Supplier 4"/>
    <x v="3"/>
    <n v="22"/>
    <n v="564"/>
    <n v="1"/>
    <n v="99.466108599999998"/>
    <s v="Fail"/>
    <n v="0.39817718699999999"/>
    <s v="Road"/>
    <s v="Route C"/>
    <n v="802.0563118"/>
  </r>
  <r>
    <s v="cosmetics"/>
    <s v="SKU8"/>
    <n v="68.717596749999998"/>
    <n v="78"/>
    <n v="150"/>
    <n v="7517.3632109999999"/>
    <x v="1"/>
    <n v="5"/>
    <n v="10"/>
    <n v="15"/>
    <n v="7"/>
    <s v="Carrier C"/>
    <n v="3.4047338570000001"/>
    <s v="Supplier 4"/>
    <x v="0"/>
    <n v="13"/>
    <n v="769"/>
    <n v="8"/>
    <n v="11.42302714"/>
    <s v="Pending"/>
    <n v="2.7098626910000001"/>
    <s v="Sea"/>
    <s v="Route B"/>
    <n v="505.55713420000001"/>
  </r>
  <r>
    <s v="skincare"/>
    <s v="SKU9"/>
    <n v="64.015732940000007"/>
    <n v="35"/>
    <n v="980"/>
    <n v="4971.1459880000002"/>
    <x v="2"/>
    <n v="14"/>
    <n v="27"/>
    <n v="83"/>
    <n v="1"/>
    <s v="Carrier A"/>
    <n v="7.166645291"/>
    <s v="Supplier 2"/>
    <x v="4"/>
    <n v="29"/>
    <n v="963"/>
    <n v="23"/>
    <n v="47.957601629999999"/>
    <s v="Pending"/>
    <n v="3.8446144790000001"/>
    <s v="Rail"/>
    <s v="Route B"/>
    <n v="995.9294615"/>
  </r>
  <r>
    <s v="skincare"/>
    <s v="SKU10"/>
    <n v="15.70779568"/>
    <n v="11"/>
    <n v="996"/>
    <n v="2330.9658020000002"/>
    <x v="0"/>
    <n v="51"/>
    <n v="13"/>
    <n v="80"/>
    <n v="2"/>
    <s v="Carrier C"/>
    <n v="8.6732112109999999"/>
    <s v="Supplier 5"/>
    <x v="1"/>
    <n v="18"/>
    <n v="830"/>
    <n v="5"/>
    <n v="96.527352789999995"/>
    <s v="Pass"/>
    <n v="1.7273139280000001"/>
    <s v="Road"/>
    <s v="Route B"/>
    <n v="806.10317769999995"/>
  </r>
  <r>
    <s v="skincare"/>
    <s v="SKU11"/>
    <n v="90.635459979999993"/>
    <n v="95"/>
    <n v="960"/>
    <n v="6099.9441159999997"/>
    <x v="1"/>
    <n v="46"/>
    <n v="23"/>
    <n v="60"/>
    <n v="1"/>
    <s v="Carrier A"/>
    <n v="4.5239431239999996"/>
    <s v="Supplier 2"/>
    <x v="1"/>
    <n v="28"/>
    <n v="362"/>
    <n v="11"/>
    <n v="27.592363089999999"/>
    <s v="Pending"/>
    <n v="2.1169820999999998E-2"/>
    <s v="Air"/>
    <s v="Route A"/>
    <n v="126.72303340000001"/>
  </r>
  <r>
    <s v="haircare"/>
    <s v="SKU12"/>
    <n v="71.213389079999999"/>
    <n v="41"/>
    <n v="336"/>
    <n v="2873.741446"/>
    <x v="2"/>
    <n v="100"/>
    <n v="30"/>
    <n v="85"/>
    <n v="4"/>
    <s v="Carrier A"/>
    <n v="1.32527401"/>
    <s v="Supplier 4"/>
    <x v="1"/>
    <n v="3"/>
    <n v="563"/>
    <n v="3"/>
    <n v="32.321286209999997"/>
    <s v="Fail"/>
    <n v="2.161253748"/>
    <s v="Road"/>
    <s v="Route B"/>
    <n v="402.96878909999998"/>
  </r>
  <r>
    <s v="skincare"/>
    <s v="SKU13"/>
    <n v="16.160393320000001"/>
    <n v="5"/>
    <n v="249"/>
    <n v="4052.7384160000001"/>
    <x v="3"/>
    <n v="80"/>
    <n v="8"/>
    <n v="48"/>
    <n v="9"/>
    <s v="Carrier A"/>
    <n v="9.5372830610000001"/>
    <s v="Supplier 5"/>
    <x v="3"/>
    <n v="23"/>
    <n v="173"/>
    <n v="10"/>
    <n v="97.829050109999997"/>
    <s v="Pending"/>
    <n v="1.6310742300000001"/>
    <s v="Road"/>
    <s v="Route B"/>
    <n v="547.24100520000002"/>
  </r>
  <r>
    <s v="skincare"/>
    <s v="SKU14"/>
    <n v="99.171328639999999"/>
    <n v="26"/>
    <n v="562"/>
    <n v="8653.5709260000003"/>
    <x v="0"/>
    <n v="54"/>
    <n v="29"/>
    <n v="78"/>
    <n v="5"/>
    <s v="Carrier B"/>
    <n v="2.039770189"/>
    <s v="Supplier 1"/>
    <x v="1"/>
    <n v="25"/>
    <n v="558"/>
    <n v="14"/>
    <n v="5.7914366299999998"/>
    <s v="Pending"/>
    <n v="0.100682852"/>
    <s v="Air"/>
    <s v="Route B"/>
    <n v="929.23528999999996"/>
  </r>
  <r>
    <s v="skincare"/>
    <s v="SKU15"/>
    <n v="36.989244929999998"/>
    <n v="94"/>
    <n v="469"/>
    <n v="5442.0867850000004"/>
    <x v="0"/>
    <n v="9"/>
    <n v="8"/>
    <n v="69"/>
    <n v="7"/>
    <s v="Carrier B"/>
    <n v="2.4220397230000001"/>
    <s v="Supplier 1"/>
    <x v="3"/>
    <n v="14"/>
    <n v="580"/>
    <n v="7"/>
    <n v="97.121281749999994"/>
    <s v="Pass"/>
    <n v="2.2644057609999999"/>
    <s v="Sea"/>
    <s v="Route B"/>
    <n v="127.8618"/>
  </r>
  <r>
    <s v="skincare"/>
    <s v="SKU16"/>
    <n v="7.54717211"/>
    <n v="74"/>
    <n v="280"/>
    <n v="6453.7979679999999"/>
    <x v="1"/>
    <n v="2"/>
    <n v="5"/>
    <n v="78"/>
    <n v="1"/>
    <s v="Carrier B"/>
    <n v="4.1913245860000004"/>
    <s v="Supplier 1"/>
    <x v="3"/>
    <n v="3"/>
    <n v="399"/>
    <n v="21"/>
    <n v="77.106342499999997"/>
    <s v="Pass"/>
    <n v="1.0125630889999999"/>
    <s v="Air"/>
    <s v="Route A"/>
    <n v="865.52577980000001"/>
  </r>
  <r>
    <s v="cosmetics"/>
    <s v="SKU17"/>
    <n v="81.46253437"/>
    <n v="82"/>
    <n v="126"/>
    <n v="2629.3964350000001"/>
    <x v="1"/>
    <n v="45"/>
    <n v="17"/>
    <n v="85"/>
    <n v="9"/>
    <s v="Carrier C"/>
    <n v="3.585418958"/>
    <s v="Supplier 1"/>
    <x v="4"/>
    <n v="7"/>
    <n v="453"/>
    <n v="16"/>
    <n v="47.67968037"/>
    <s v="Fail"/>
    <n v="0.102020755"/>
    <s v="Air"/>
    <s v="Route C"/>
    <n v="670.93439079999996"/>
  </r>
  <r>
    <s v="haircare"/>
    <s v="SKU18"/>
    <n v="36.443627769999999"/>
    <n v="23"/>
    <n v="620"/>
    <n v="9364.6735050000007"/>
    <x v="2"/>
    <n v="10"/>
    <n v="10"/>
    <n v="46"/>
    <n v="8"/>
    <s v="Carrier C"/>
    <n v="4.3392247140000002"/>
    <s v="Supplier 2"/>
    <x v="1"/>
    <n v="18"/>
    <n v="374"/>
    <n v="17"/>
    <n v="27.107980850000001"/>
    <s v="Pending"/>
    <n v="2.231939111"/>
    <s v="Sea"/>
    <s v="Route A"/>
    <n v="593.48025870000004"/>
  </r>
  <r>
    <s v="skincare"/>
    <s v="SKU19"/>
    <n v="51.123870089999997"/>
    <n v="100"/>
    <n v="187"/>
    <n v="2553.4955850000001"/>
    <x v="2"/>
    <n v="48"/>
    <n v="11"/>
    <n v="94"/>
    <n v="3"/>
    <s v="Carrier A"/>
    <n v="4.7426358830000002"/>
    <s v="Supplier 4"/>
    <x v="4"/>
    <n v="20"/>
    <n v="694"/>
    <n v="16"/>
    <n v="82.373320590000006"/>
    <s v="Fail"/>
    <n v="3.6464508649999998"/>
    <s v="Road"/>
    <s v="Route C"/>
    <n v="477.30763109999998"/>
  </r>
  <r>
    <s v="skincare"/>
    <s v="SKU20"/>
    <n v="96.341072440000005"/>
    <n v="22"/>
    <n v="320"/>
    <n v="8128.0276970000004"/>
    <x v="2"/>
    <n v="27"/>
    <n v="12"/>
    <n v="68"/>
    <n v="6"/>
    <s v="Carrier A"/>
    <n v="8.8783346509999994"/>
    <s v="Supplier 1"/>
    <x v="4"/>
    <n v="29"/>
    <n v="309"/>
    <n v="6"/>
    <n v="65.686259609999993"/>
    <s v="Pass"/>
    <n v="4.2314165739999998"/>
    <s v="Air"/>
    <s v="Route B"/>
    <n v="493.87121530000002"/>
  </r>
  <r>
    <s v="cosmetics"/>
    <s v="SKU21"/>
    <n v="84.893868979999993"/>
    <n v="60"/>
    <n v="601"/>
    <n v="7087.0526959999997"/>
    <x v="2"/>
    <n v="69"/>
    <n v="25"/>
    <n v="7"/>
    <n v="6"/>
    <s v="Carrier B"/>
    <n v="6.0378837689999996"/>
    <s v="Supplier 5"/>
    <x v="4"/>
    <n v="19"/>
    <n v="791"/>
    <n v="4"/>
    <n v="61.735728950000002"/>
    <s v="Pending"/>
    <n v="1.8607568000000001E-2"/>
    <s v="Air"/>
    <s v="Route C"/>
    <n v="523.36091469999997"/>
  </r>
  <r>
    <s v="haircare"/>
    <s v="SKU22"/>
    <n v="27.67978089"/>
    <n v="55"/>
    <n v="884"/>
    <n v="2390.807867"/>
    <x v="2"/>
    <n v="71"/>
    <n v="1"/>
    <n v="63"/>
    <n v="10"/>
    <s v="Carrier A"/>
    <n v="9.567648921"/>
    <s v="Supplier 4"/>
    <x v="1"/>
    <n v="22"/>
    <n v="780"/>
    <n v="28"/>
    <n v="50.120839609999997"/>
    <s v="Fail"/>
    <n v="2.5912754730000001"/>
    <s v="Rail"/>
    <s v="Route C"/>
    <n v="205.5719958"/>
  </r>
  <r>
    <s v="cosmetics"/>
    <s v="SKU23"/>
    <n v="4.3243411859999998"/>
    <n v="30"/>
    <n v="391"/>
    <n v="8858.3675710000007"/>
    <x v="2"/>
    <n v="84"/>
    <n v="5"/>
    <n v="29"/>
    <n v="7"/>
    <s v="Carrier A"/>
    <n v="2.9248576009999998"/>
    <s v="Supplier 5"/>
    <x v="1"/>
    <n v="11"/>
    <n v="568"/>
    <n v="29"/>
    <n v="98.60995724"/>
    <s v="Pending"/>
    <n v="1.3422915630000001"/>
    <s v="Rail"/>
    <s v="Route A"/>
    <n v="196.32944610000001"/>
  </r>
  <r>
    <s v="haircare"/>
    <s v="SKU24"/>
    <n v="4.1563083589999996"/>
    <n v="32"/>
    <n v="209"/>
    <n v="9049.0778609999998"/>
    <x v="3"/>
    <n v="4"/>
    <n v="26"/>
    <n v="2"/>
    <n v="8"/>
    <s v="Carrier C"/>
    <n v="9.7412916890000005"/>
    <s v="Supplier 2"/>
    <x v="3"/>
    <n v="28"/>
    <n v="447"/>
    <n v="3"/>
    <n v="40.382359700000002"/>
    <s v="Pending"/>
    <n v="3.6913102929999999"/>
    <s v="Air"/>
    <s v="Route A"/>
    <n v="758.72477260000005"/>
  </r>
  <r>
    <s v="haircare"/>
    <s v="SKU25"/>
    <n v="39.629343990000002"/>
    <n v="73"/>
    <n v="142"/>
    <n v="2174.7770540000001"/>
    <x v="3"/>
    <n v="82"/>
    <n v="11"/>
    <n v="52"/>
    <n v="3"/>
    <s v="Carrier C"/>
    <n v="2.2310736809999998"/>
    <s v="Supplier 4"/>
    <x v="1"/>
    <n v="19"/>
    <n v="934"/>
    <n v="23"/>
    <n v="78.280383119999996"/>
    <s v="Pending"/>
    <n v="3.7972312170000002"/>
    <s v="Road"/>
    <s v="Route B"/>
    <n v="458.53594570000001"/>
  </r>
  <r>
    <s v="haircare"/>
    <s v="SKU26"/>
    <n v="97.446946620000006"/>
    <n v="9"/>
    <n v="353"/>
    <n v="3716.4933259999998"/>
    <x v="3"/>
    <n v="59"/>
    <n v="16"/>
    <n v="48"/>
    <n v="4"/>
    <s v="Carrier B"/>
    <n v="6.5075486209999998"/>
    <s v="Supplier 2"/>
    <x v="3"/>
    <n v="26"/>
    <n v="171"/>
    <n v="4"/>
    <n v="15.972229759999999"/>
    <s v="Pass"/>
    <n v="2.1193197370000001"/>
    <s v="Rail"/>
    <s v="Route A"/>
    <n v="617.8669165"/>
  </r>
  <r>
    <s v="cosmetics"/>
    <s v="SKU27"/>
    <n v="92.557360810000006"/>
    <n v="42"/>
    <n v="352"/>
    <n v="2686.4572240000002"/>
    <x v="2"/>
    <n v="47"/>
    <n v="9"/>
    <n v="62"/>
    <n v="8"/>
    <s v="Carrier C"/>
    <n v="7.4067509530000004"/>
    <s v="Supplier 5"/>
    <x v="0"/>
    <n v="25"/>
    <n v="291"/>
    <n v="4"/>
    <n v="10.528245070000001"/>
    <s v="Fail"/>
    <n v="2.8646678379999999"/>
    <s v="Sea"/>
    <s v="Route B"/>
    <n v="762.45918219999999"/>
  </r>
  <r>
    <s v="cosmetics"/>
    <s v="SKU28"/>
    <n v="2.3972747060000001"/>
    <n v="12"/>
    <n v="394"/>
    <n v="6117.3246150000004"/>
    <x v="1"/>
    <n v="48"/>
    <n v="15"/>
    <n v="24"/>
    <n v="4"/>
    <s v="Carrier B"/>
    <n v="9.8981405079999991"/>
    <s v="Supplier 1"/>
    <x v="0"/>
    <n v="13"/>
    <n v="171"/>
    <n v="7"/>
    <n v="59.429381810000002"/>
    <s v="Fail"/>
    <n v="0.81575707900000005"/>
    <s v="Air"/>
    <s v="Route A"/>
    <n v="123.4370275"/>
  </r>
  <r>
    <s v="cosmetics"/>
    <s v="SKU29"/>
    <n v="63.44755919"/>
    <n v="3"/>
    <n v="253"/>
    <n v="8318.9031950000008"/>
    <x v="1"/>
    <n v="45"/>
    <n v="5"/>
    <n v="67"/>
    <n v="7"/>
    <s v="Carrier B"/>
    <n v="8.1009731449999993"/>
    <s v="Supplier 1"/>
    <x v="1"/>
    <n v="16"/>
    <n v="329"/>
    <n v="7"/>
    <n v="39.292875590000001"/>
    <s v="Pass"/>
    <n v="3.8780989369999999"/>
    <s v="Road"/>
    <s v="Route B"/>
    <n v="764.93537590000005"/>
  </r>
  <r>
    <s v="haircare"/>
    <s v="SKU30"/>
    <n v="8.0228592110000001"/>
    <n v="10"/>
    <n v="327"/>
    <n v="2766.3423670000002"/>
    <x v="3"/>
    <n v="60"/>
    <n v="26"/>
    <n v="35"/>
    <n v="7"/>
    <s v="Carrier B"/>
    <n v="8.9545283149999992"/>
    <s v="Supplier 4"/>
    <x v="1"/>
    <n v="27"/>
    <n v="806"/>
    <n v="30"/>
    <n v="51.634893400000003"/>
    <s v="Pending"/>
    <n v="0.96539470500000002"/>
    <s v="Road"/>
    <s v="Route C"/>
    <n v="880.08098819999998"/>
  </r>
  <r>
    <s v="skincare"/>
    <s v="SKU31"/>
    <n v="50.847393050000001"/>
    <n v="28"/>
    <n v="168"/>
    <n v="9655.1351030000005"/>
    <x v="3"/>
    <n v="6"/>
    <n v="17"/>
    <n v="44"/>
    <n v="4"/>
    <s v="Carrier B"/>
    <n v="2.6796609650000001"/>
    <s v="Supplier 3"/>
    <x v="4"/>
    <n v="24"/>
    <n v="461"/>
    <n v="8"/>
    <n v="60.251145659999999"/>
    <s v="Pending"/>
    <n v="2.989000007"/>
    <s v="Rail"/>
    <s v="Route C"/>
    <n v="609.37920659999997"/>
  </r>
  <r>
    <s v="skincare"/>
    <s v="SKU32"/>
    <n v="79.209936020000001"/>
    <n v="43"/>
    <n v="781"/>
    <n v="9571.5504870000004"/>
    <x v="2"/>
    <n v="89"/>
    <n v="13"/>
    <n v="64"/>
    <n v="4"/>
    <s v="Carrier C"/>
    <n v="6.5991049009999996"/>
    <s v="Supplier 3"/>
    <x v="1"/>
    <n v="30"/>
    <n v="737"/>
    <n v="7"/>
    <n v="29.692467149999999"/>
    <s v="Pass"/>
    <n v="1.946036119"/>
    <s v="Road"/>
    <s v="Route A"/>
    <n v="761.17390950000004"/>
  </r>
  <r>
    <s v="cosmetics"/>
    <s v="SKU33"/>
    <n v="64.795434999999998"/>
    <n v="63"/>
    <n v="616"/>
    <n v="5149.9983499999998"/>
    <x v="0"/>
    <n v="4"/>
    <n v="17"/>
    <n v="95"/>
    <n v="9"/>
    <s v="Carrier C"/>
    <n v="4.858270503"/>
    <s v="Supplier 5"/>
    <x v="4"/>
    <n v="1"/>
    <n v="251"/>
    <n v="23"/>
    <n v="23.85342751"/>
    <s v="Fail"/>
    <n v="3.5410460119999998"/>
    <s v="Sea"/>
    <s v="Route A"/>
    <n v="371.25529549999999"/>
  </r>
  <r>
    <s v="skincare"/>
    <s v="SKU34"/>
    <n v="37.467592330000002"/>
    <n v="96"/>
    <n v="602"/>
    <n v="9061.7108960000005"/>
    <x v="2"/>
    <n v="1"/>
    <n v="26"/>
    <n v="21"/>
    <n v="7"/>
    <s v="Carrier A"/>
    <n v="1.019487571"/>
    <s v="Supplier 1"/>
    <x v="4"/>
    <n v="4"/>
    <n v="452"/>
    <n v="10"/>
    <n v="10.754272820000001"/>
    <s v="Pass"/>
    <n v="0.64660455900000002"/>
    <s v="Road"/>
    <s v="Route B"/>
    <n v="510.35800039999998"/>
  </r>
  <r>
    <s v="cosmetics"/>
    <s v="SKU35"/>
    <n v="84.957786819999995"/>
    <n v="11"/>
    <n v="449"/>
    <n v="6541.3293450000001"/>
    <x v="1"/>
    <n v="42"/>
    <n v="27"/>
    <n v="85"/>
    <n v="8"/>
    <s v="Carrier C"/>
    <n v="5.2881899900000002"/>
    <s v="Supplier 1"/>
    <x v="2"/>
    <n v="3"/>
    <n v="367"/>
    <n v="2"/>
    <n v="58.004787039999997"/>
    <s v="Pass"/>
    <n v="0.54115409800000003"/>
    <s v="Sea"/>
    <s v="Route C"/>
    <n v="553.42047119999995"/>
  </r>
  <r>
    <s v="skincare"/>
    <s v="SKU36"/>
    <n v="9.8130025790000008"/>
    <n v="34"/>
    <n v="963"/>
    <n v="7573.4024579999996"/>
    <x v="1"/>
    <n v="18"/>
    <n v="23"/>
    <n v="28"/>
    <n v="3"/>
    <s v="Carrier B"/>
    <n v="2.1079512669999998"/>
    <s v="Supplier 2"/>
    <x v="2"/>
    <n v="26"/>
    <n v="671"/>
    <n v="19"/>
    <n v="45.531364240000002"/>
    <s v="Fail"/>
    <n v="3.8055333789999999"/>
    <s v="Air"/>
    <s v="Route C"/>
    <n v="403.80897420000002"/>
  </r>
  <r>
    <s v="skincare"/>
    <s v="SKU37"/>
    <n v="23.39984475"/>
    <n v="5"/>
    <n v="963"/>
    <n v="2438.3399300000001"/>
    <x v="1"/>
    <n v="25"/>
    <n v="8"/>
    <n v="21"/>
    <n v="9"/>
    <s v="Carrier A"/>
    <n v="1.5326552739999999"/>
    <s v="Supplier 3"/>
    <x v="1"/>
    <n v="24"/>
    <n v="867"/>
    <n v="15"/>
    <n v="34.343277469999997"/>
    <s v="Pending"/>
    <n v="2.6102880850000001"/>
    <s v="Sea"/>
    <s v="Route A"/>
    <n v="183.93296799999999"/>
  </r>
  <r>
    <s v="cosmetics"/>
    <s v="SKU38"/>
    <n v="52.075930679999999"/>
    <n v="75"/>
    <n v="705"/>
    <n v="9692.3180400000001"/>
    <x v="0"/>
    <n v="69"/>
    <n v="1"/>
    <n v="88"/>
    <n v="5"/>
    <s v="Carrier B"/>
    <n v="9.2359314369999996"/>
    <s v="Supplier 5"/>
    <x v="0"/>
    <n v="10"/>
    <n v="841"/>
    <n v="12"/>
    <n v="5.9306936459999999"/>
    <s v="Pending"/>
    <n v="0.61332689900000004"/>
    <s v="Air"/>
    <s v="Route B"/>
    <n v="339.67286990000002"/>
  </r>
  <r>
    <s v="skincare"/>
    <s v="SKU39"/>
    <n v="19.12747727"/>
    <n v="26"/>
    <n v="176"/>
    <n v="1912.4656629999999"/>
    <x v="1"/>
    <n v="78"/>
    <n v="29"/>
    <n v="34"/>
    <n v="3"/>
    <s v="Carrier A"/>
    <n v="5.562503779"/>
    <s v="Supplier 2"/>
    <x v="1"/>
    <n v="30"/>
    <n v="791"/>
    <n v="6"/>
    <n v="9.0058074290000008"/>
    <s v="Fail"/>
    <n v="1.451972204"/>
    <s v="Air"/>
    <s v="Route B"/>
    <n v="653.67299460000004"/>
  </r>
  <r>
    <s v="skincare"/>
    <s v="SKU40"/>
    <n v="80.541424169999999"/>
    <n v="97"/>
    <n v="933"/>
    <n v="5724.9593500000001"/>
    <x v="1"/>
    <n v="90"/>
    <n v="20"/>
    <n v="39"/>
    <n v="8"/>
    <s v="Carrier C"/>
    <n v="7.2295951399999998"/>
    <s v="Supplier 1"/>
    <x v="1"/>
    <n v="18"/>
    <n v="793"/>
    <n v="1"/>
    <n v="88.179407100000006"/>
    <s v="Pending"/>
    <n v="4.2132694309999996"/>
    <s v="Road"/>
    <s v="Route A"/>
    <n v="529.80872399999998"/>
  </r>
  <r>
    <s v="skincare"/>
    <s v="SKU41"/>
    <n v="99.113291619999998"/>
    <n v="35"/>
    <n v="556"/>
    <n v="5521.2052590000003"/>
    <x v="1"/>
    <n v="64"/>
    <n v="19"/>
    <n v="38"/>
    <n v="8"/>
    <s v="Carrier B"/>
    <n v="5.7732637440000003"/>
    <s v="Supplier 4"/>
    <x v="4"/>
    <n v="18"/>
    <n v="892"/>
    <n v="7"/>
    <n v="95.332064549999998"/>
    <s v="Fail"/>
    <n v="4.5302262000000003E-2"/>
    <s v="Sea"/>
    <s v="Route A"/>
    <n v="275.5243711"/>
  </r>
  <r>
    <s v="skincare"/>
    <s v="SKU42"/>
    <n v="46.529167610000002"/>
    <n v="98"/>
    <n v="155"/>
    <n v="1839.609426"/>
    <x v="1"/>
    <n v="22"/>
    <n v="27"/>
    <n v="57"/>
    <n v="4"/>
    <s v="Carrier C"/>
    <n v="7.5262483270000002"/>
    <s v="Supplier 5"/>
    <x v="3"/>
    <n v="26"/>
    <n v="179"/>
    <n v="7"/>
    <n v="96.422820639999998"/>
    <s v="Fail"/>
    <n v="4.9392552890000001"/>
    <s v="Road"/>
    <s v="Route A"/>
    <n v="635.65712050000002"/>
  </r>
  <r>
    <s v="haircare"/>
    <s v="SKU43"/>
    <n v="11.743271780000001"/>
    <n v="6"/>
    <n v="598"/>
    <n v="5737.4255990000001"/>
    <x v="2"/>
    <n v="36"/>
    <n v="29"/>
    <n v="85"/>
    <n v="9"/>
    <s v="Carrier B"/>
    <n v="3.6940212680000002"/>
    <s v="Supplier 5"/>
    <x v="0"/>
    <n v="1"/>
    <n v="206"/>
    <n v="23"/>
    <n v="26.277365960000001"/>
    <s v="Pending"/>
    <n v="0.37230476800000001"/>
    <s v="Air"/>
    <s v="Route A"/>
    <n v="716.04411979999998"/>
  </r>
  <r>
    <s v="cosmetics"/>
    <s v="SKU44"/>
    <n v="51.355790910000003"/>
    <n v="34"/>
    <n v="919"/>
    <n v="7152.2860490000003"/>
    <x v="1"/>
    <n v="13"/>
    <n v="19"/>
    <n v="72"/>
    <n v="6"/>
    <s v="Carrier C"/>
    <n v="7.5774496569999998"/>
    <s v="Supplier 2"/>
    <x v="2"/>
    <n v="7"/>
    <n v="834"/>
    <n v="18"/>
    <n v="22.554106619999999"/>
    <s v="Fail"/>
    <n v="2.96262632"/>
    <s v="Rail"/>
    <s v="Route A"/>
    <n v="610.4532696"/>
  </r>
  <r>
    <s v="haircare"/>
    <s v="SKU45"/>
    <n v="33.784138030000001"/>
    <n v="1"/>
    <n v="24"/>
    <n v="5267.9568079999999"/>
    <x v="3"/>
    <n v="93"/>
    <n v="7"/>
    <n v="52"/>
    <n v="6"/>
    <s v="Carrier B"/>
    <n v="5.2151550090000001"/>
    <s v="Supplier 2"/>
    <x v="4"/>
    <n v="25"/>
    <n v="794"/>
    <n v="25"/>
    <n v="66.312544439999996"/>
    <s v="Pass"/>
    <n v="3.2196046119999999"/>
    <s v="Rail"/>
    <s v="Route A"/>
    <n v="495.30569700000001"/>
  </r>
  <r>
    <s v="haircare"/>
    <s v="SKU46"/>
    <n v="27.082207199999999"/>
    <n v="75"/>
    <n v="859"/>
    <n v="2556.7673610000002"/>
    <x v="0"/>
    <n v="92"/>
    <n v="29"/>
    <n v="6"/>
    <n v="8"/>
    <s v="Carrier B"/>
    <n v="4.0709558369999996"/>
    <s v="Supplier 3"/>
    <x v="4"/>
    <n v="18"/>
    <n v="870"/>
    <n v="23"/>
    <n v="77.322353210000003"/>
    <s v="Pending"/>
    <n v="3.6486105929999999"/>
    <s v="Road"/>
    <s v="Route B"/>
    <n v="380.43593709999999"/>
  </r>
  <r>
    <s v="skincare"/>
    <s v="SKU47"/>
    <n v="95.712135880000005"/>
    <n v="93"/>
    <n v="910"/>
    <n v="7089.4742500000002"/>
    <x v="3"/>
    <n v="4"/>
    <n v="15"/>
    <n v="51"/>
    <n v="9"/>
    <s v="Carrier B"/>
    <n v="8.9787507560000002"/>
    <s v="Supplier 1"/>
    <x v="1"/>
    <n v="10"/>
    <n v="964"/>
    <n v="20"/>
    <n v="19.712992910000001"/>
    <s v="Pending"/>
    <n v="0.38057358699999999"/>
    <s v="Rail"/>
    <s v="Route A"/>
    <n v="581.60235509999995"/>
  </r>
  <r>
    <s v="haircare"/>
    <s v="SKU48"/>
    <n v="76.035544430000002"/>
    <n v="28"/>
    <n v="29"/>
    <n v="7397.0710049999998"/>
    <x v="0"/>
    <n v="30"/>
    <n v="16"/>
    <n v="9"/>
    <n v="3"/>
    <s v="Carrier C"/>
    <n v="7.0958331570000004"/>
    <s v="Supplier 2"/>
    <x v="0"/>
    <n v="9"/>
    <n v="109"/>
    <n v="18"/>
    <n v="23.12636358"/>
    <s v="Fail"/>
    <n v="1.698112541"/>
    <s v="Rail"/>
    <s v="Route B"/>
    <n v="768.65191400000003"/>
  </r>
  <r>
    <s v="cosmetics"/>
    <s v="SKU49"/>
    <n v="78.897913209999999"/>
    <n v="19"/>
    <n v="99"/>
    <n v="8001.6132070000003"/>
    <x v="2"/>
    <n v="97"/>
    <n v="24"/>
    <n v="9"/>
    <n v="6"/>
    <s v="Carrier C"/>
    <n v="2.5056210330000002"/>
    <s v="Supplier 5"/>
    <x v="2"/>
    <n v="28"/>
    <n v="177"/>
    <n v="28"/>
    <n v="14.14781544"/>
    <s v="Pass"/>
    <n v="2.8258139849999999"/>
    <s v="Rail"/>
    <s v="Route A"/>
    <n v="336.89016850000002"/>
  </r>
  <r>
    <s v="cosmetics"/>
    <s v="SKU50"/>
    <n v="14.20348426"/>
    <n v="91"/>
    <n v="633"/>
    <n v="5910.8853900000004"/>
    <x v="1"/>
    <n v="31"/>
    <n v="23"/>
    <n v="82"/>
    <n v="10"/>
    <s v="Carrier A"/>
    <n v="6.2478609150000004"/>
    <s v="Supplier 2"/>
    <x v="2"/>
    <n v="20"/>
    <n v="306"/>
    <n v="21"/>
    <n v="45.178757920000002"/>
    <s v="Fail"/>
    <n v="4.7548008050000004"/>
    <s v="Rail"/>
    <s v="Route B"/>
    <n v="496.24865030000001"/>
  </r>
  <r>
    <s v="haircare"/>
    <s v="SKU51"/>
    <n v="26.700760970000001"/>
    <n v="61"/>
    <n v="154"/>
    <n v="9866.4654580000006"/>
    <x v="3"/>
    <n v="100"/>
    <n v="4"/>
    <n v="52"/>
    <n v="1"/>
    <s v="Carrier A"/>
    <n v="4.7830005580000003"/>
    <s v="Supplier 5"/>
    <x v="3"/>
    <n v="18"/>
    <n v="673"/>
    <n v="28"/>
    <n v="14.190328340000001"/>
    <s v="Pending"/>
    <n v="1.772951172"/>
    <s v="Road"/>
    <s v="Route A"/>
    <n v="694.98231759999999"/>
  </r>
  <r>
    <s v="skincare"/>
    <s v="SKU52"/>
    <n v="98.03182966"/>
    <n v="1"/>
    <n v="820"/>
    <n v="9435.7626089999994"/>
    <x v="3"/>
    <n v="64"/>
    <n v="11"/>
    <n v="11"/>
    <n v="1"/>
    <s v="Carrier B"/>
    <n v="8.6310521799999993"/>
    <s v="Supplier 1"/>
    <x v="0"/>
    <n v="10"/>
    <n v="727"/>
    <n v="27"/>
    <n v="9.1668491490000008"/>
    <s v="Pending"/>
    <n v="2.1224716190000001"/>
    <s v="Air"/>
    <s v="Route C"/>
    <n v="602.89849879999997"/>
  </r>
  <r>
    <s v="skincare"/>
    <s v="SKU53"/>
    <n v="30.341470709999999"/>
    <n v="93"/>
    <n v="242"/>
    <n v="8232.3348289999994"/>
    <x v="3"/>
    <n v="96"/>
    <n v="25"/>
    <n v="54"/>
    <n v="3"/>
    <s v="Carrier B"/>
    <n v="1.0134865660000001"/>
    <s v="Supplier 1"/>
    <x v="2"/>
    <n v="1"/>
    <n v="631"/>
    <n v="17"/>
    <n v="83.344058989999994"/>
    <s v="Pending"/>
    <n v="1.4103475759999999"/>
    <s v="Air"/>
    <s v="Route B"/>
    <n v="750.73784069999999"/>
  </r>
  <r>
    <s v="haircare"/>
    <s v="SKU54"/>
    <n v="31.146243160000001"/>
    <n v="11"/>
    <n v="622"/>
    <n v="6088.0214800000003"/>
    <x v="0"/>
    <n v="33"/>
    <n v="22"/>
    <n v="61"/>
    <n v="3"/>
    <s v="Carrier B"/>
    <n v="4.3051034709999998"/>
    <s v="Supplier 1"/>
    <x v="1"/>
    <n v="26"/>
    <n v="497"/>
    <n v="29"/>
    <n v="30.186023380000002"/>
    <s v="Pass"/>
    <n v="2.478771976"/>
    <s v="Road"/>
    <s v="Route B"/>
    <n v="814.06999659999997"/>
  </r>
  <r>
    <s v="haircare"/>
    <s v="SKU55"/>
    <n v="79.855058339999999"/>
    <n v="16"/>
    <n v="701"/>
    <n v="2925.67517"/>
    <x v="3"/>
    <n v="97"/>
    <n v="11"/>
    <n v="11"/>
    <n v="5"/>
    <s v="Carrier A"/>
    <n v="5.0143649549999996"/>
    <s v="Supplier 2"/>
    <x v="2"/>
    <n v="27"/>
    <n v="918"/>
    <n v="5"/>
    <n v="30.32354526"/>
    <s v="Fail"/>
    <n v="4.5489196590000001"/>
    <s v="Sea"/>
    <s v="Route B"/>
    <n v="323.01292799999999"/>
  </r>
  <r>
    <s v="skincare"/>
    <s v="SKU56"/>
    <n v="20.986386039999999"/>
    <n v="90"/>
    <n v="93"/>
    <n v="4767.0204839999997"/>
    <x v="0"/>
    <n v="25"/>
    <n v="23"/>
    <n v="83"/>
    <n v="5"/>
    <s v="Carrier C"/>
    <n v="1.774429714"/>
    <s v="Supplier 1"/>
    <x v="0"/>
    <n v="24"/>
    <n v="826"/>
    <n v="28"/>
    <n v="12.83628457"/>
    <s v="Pass"/>
    <n v="1.173755495"/>
    <s v="Air"/>
    <s v="Route B"/>
    <n v="832.21080870000003"/>
  </r>
  <r>
    <s v="haircare"/>
    <s v="SKU57"/>
    <n v="49.26320535"/>
    <n v="65"/>
    <n v="227"/>
    <n v="1605.8669"/>
    <x v="2"/>
    <n v="5"/>
    <n v="18"/>
    <n v="51"/>
    <n v="1"/>
    <s v="Carrier B"/>
    <n v="9.1605585349999998"/>
    <s v="Supplier 2"/>
    <x v="2"/>
    <n v="21"/>
    <n v="588"/>
    <n v="25"/>
    <n v="67.779622989999993"/>
    <s v="Pending"/>
    <n v="2.5111748299999999"/>
    <s v="Rail"/>
    <s v="Route A"/>
    <n v="482.19123860000002"/>
  </r>
  <r>
    <s v="skincare"/>
    <s v="SKU58"/>
    <n v="59.841561380000002"/>
    <n v="81"/>
    <n v="896"/>
    <n v="2021.1498099999999"/>
    <x v="0"/>
    <n v="10"/>
    <n v="5"/>
    <n v="44"/>
    <n v="7"/>
    <s v="Carrier A"/>
    <n v="4.9384385650000002"/>
    <s v="Supplier 3"/>
    <x v="2"/>
    <n v="18"/>
    <n v="396"/>
    <n v="7"/>
    <n v="65.047415090000001"/>
    <s v="Fail"/>
    <n v="1.7303747199999999"/>
    <s v="Road"/>
    <s v="Route B"/>
    <n v="110.3643352"/>
  </r>
  <r>
    <s v="cosmetics"/>
    <s v="SKU59"/>
    <n v="63.828398350000001"/>
    <n v="30"/>
    <n v="484"/>
    <n v="1061.6185230000001"/>
    <x v="0"/>
    <n v="100"/>
    <n v="16"/>
    <n v="26"/>
    <n v="7"/>
    <s v="Carrier B"/>
    <n v="7.2937225970000004"/>
    <s v="Supplier 1"/>
    <x v="1"/>
    <n v="11"/>
    <n v="176"/>
    <n v="4"/>
    <n v="1.900762244"/>
    <s v="Fail"/>
    <n v="0.447194015"/>
    <s v="Air"/>
    <s v="Route A"/>
    <n v="312.57427360000003"/>
  </r>
  <r>
    <s v="skincare"/>
    <s v="SKU60"/>
    <n v="17.02802792"/>
    <n v="16"/>
    <n v="380"/>
    <n v="8864.0843499999992"/>
    <x v="1"/>
    <n v="41"/>
    <n v="27"/>
    <n v="72"/>
    <n v="8"/>
    <s v="Carrier C"/>
    <n v="4.3813681579999999"/>
    <s v="Supplier 4"/>
    <x v="0"/>
    <n v="29"/>
    <n v="929"/>
    <n v="24"/>
    <n v="87.213057820000003"/>
    <s v="Fail"/>
    <n v="2.8530906169999999"/>
    <s v="Rail"/>
    <s v="Route A"/>
    <n v="430.16909700000002"/>
  </r>
  <r>
    <s v="haircare"/>
    <s v="SKU61"/>
    <n v="52.028749900000001"/>
    <n v="23"/>
    <n v="117"/>
    <n v="6885.5893509999996"/>
    <x v="2"/>
    <n v="32"/>
    <n v="23"/>
    <n v="36"/>
    <n v="7"/>
    <s v="Carrier C"/>
    <n v="9.0303404230000002"/>
    <s v="Supplier 4"/>
    <x v="1"/>
    <n v="14"/>
    <n v="480"/>
    <n v="12"/>
    <n v="78.702393970000003"/>
    <s v="Fail"/>
    <n v="4.3674705380000001"/>
    <s v="Air"/>
    <s v="Route A"/>
    <n v="164.3665282"/>
  </r>
  <r>
    <s v="cosmetics"/>
    <s v="SKU62"/>
    <n v="72.796353960000005"/>
    <n v="89"/>
    <n v="270"/>
    <n v="3899.746834"/>
    <x v="2"/>
    <n v="86"/>
    <n v="2"/>
    <n v="40"/>
    <n v="7"/>
    <s v="Carrier C"/>
    <n v="7.291701389"/>
    <s v="Supplier 2"/>
    <x v="0"/>
    <n v="13"/>
    <n v="751"/>
    <n v="14"/>
    <n v="21.048642730000001"/>
    <s v="Pass"/>
    <n v="1.8740014039999999"/>
    <s v="Sea"/>
    <s v="Route C"/>
    <n v="320.84651580000002"/>
  </r>
  <r>
    <s v="skincare"/>
    <s v="SKU63"/>
    <n v="13.01737679"/>
    <n v="55"/>
    <n v="246"/>
    <n v="4256.9491410000001"/>
    <x v="0"/>
    <n v="54"/>
    <n v="19"/>
    <n v="10"/>
    <n v="4"/>
    <s v="Carrier A"/>
    <n v="2.4579335279999999"/>
    <s v="Supplier 3"/>
    <x v="3"/>
    <n v="18"/>
    <n v="736"/>
    <n v="10"/>
    <n v="20.075003980000002"/>
    <s v="Pending"/>
    <n v="3.6328432899999998"/>
    <s v="Sea"/>
    <s v="Route A"/>
    <n v="687.28617789999998"/>
  </r>
  <r>
    <s v="skincare"/>
    <s v="SKU64"/>
    <n v="89.634095610000003"/>
    <n v="11"/>
    <n v="134"/>
    <n v="8458.7308780000003"/>
    <x v="1"/>
    <n v="73"/>
    <n v="27"/>
    <n v="75"/>
    <n v="6"/>
    <s v="Carrier C"/>
    <n v="4.5853534680000001"/>
    <s v="Supplier 1"/>
    <x v="2"/>
    <n v="17"/>
    <n v="328"/>
    <n v="6"/>
    <n v="8.6930424259999999"/>
    <s v="Fail"/>
    <n v="0.15948631499999999"/>
    <s v="Air"/>
    <s v="Route C"/>
    <n v="771.22508470000002"/>
  </r>
  <r>
    <s v="skincare"/>
    <s v="SKU65"/>
    <n v="33.69771721"/>
    <n v="72"/>
    <n v="457"/>
    <n v="8354.5796859999991"/>
    <x v="3"/>
    <n v="57"/>
    <n v="24"/>
    <n v="54"/>
    <n v="8"/>
    <s v="Carrier C"/>
    <n v="6.5805413479999997"/>
    <s v="Supplier 5"/>
    <x v="1"/>
    <n v="16"/>
    <n v="358"/>
    <n v="21"/>
    <n v="1.5972227429999999"/>
    <s v="Fail"/>
    <n v="4.9110959550000004"/>
    <s v="Rail"/>
    <s v="Route C"/>
    <n v="555.85910369999999"/>
  </r>
  <r>
    <s v="skincare"/>
    <s v="SKU66"/>
    <n v="26.03486977"/>
    <n v="52"/>
    <n v="704"/>
    <n v="8367.7216179999996"/>
    <x v="1"/>
    <n v="13"/>
    <n v="17"/>
    <n v="19"/>
    <n v="8"/>
    <s v="Carrier A"/>
    <n v="2.216142729"/>
    <s v="Supplier 5"/>
    <x v="1"/>
    <n v="24"/>
    <n v="867"/>
    <n v="28"/>
    <n v="42.084436740000001"/>
    <s v="Fail"/>
    <n v="3.4480632880000002"/>
    <s v="Road"/>
    <s v="Route A"/>
    <n v="393.84334860000001"/>
  </r>
  <r>
    <s v="skincare"/>
    <s v="SKU67"/>
    <n v="87.755432350000007"/>
    <n v="16"/>
    <n v="513"/>
    <n v="9473.7980329999991"/>
    <x v="2"/>
    <n v="12"/>
    <n v="9"/>
    <n v="71"/>
    <n v="9"/>
    <s v="Carrier C"/>
    <n v="9.1478115449999997"/>
    <s v="Supplier 1"/>
    <x v="0"/>
    <n v="10"/>
    <n v="198"/>
    <n v="11"/>
    <n v="7.057876147"/>
    <s v="Pass"/>
    <n v="0.13195544400000001"/>
    <s v="Sea"/>
    <s v="Route C"/>
    <n v="169.27180139999999"/>
  </r>
  <r>
    <s v="haircare"/>
    <s v="SKU68"/>
    <n v="37.931812379999997"/>
    <n v="29"/>
    <n v="163"/>
    <n v="3550.218433"/>
    <x v="0"/>
    <n v="0"/>
    <n v="8"/>
    <n v="58"/>
    <n v="8"/>
    <s v="Carrier B"/>
    <n v="1.194251865"/>
    <s v="Supplier 2"/>
    <x v="3"/>
    <n v="2"/>
    <n v="375"/>
    <n v="18"/>
    <n v="97.11358156"/>
    <s v="Fail"/>
    <n v="1.9834678720000001"/>
    <s v="Rail"/>
    <s v="Route A"/>
    <n v="299.70630310000001"/>
  </r>
  <r>
    <s v="skincare"/>
    <s v="SKU69"/>
    <n v="54.865528519999998"/>
    <n v="62"/>
    <n v="511"/>
    <n v="1752.381087"/>
    <x v="0"/>
    <n v="95"/>
    <n v="1"/>
    <n v="27"/>
    <n v="3"/>
    <s v="Carrier B"/>
    <n v="9.7052867900000006"/>
    <s v="Supplier 4"/>
    <x v="1"/>
    <n v="9"/>
    <n v="862"/>
    <n v="7"/>
    <n v="77.62776581"/>
    <s v="Pending"/>
    <n v="1.3623879889999999"/>
    <s v="Air"/>
    <s v="Route A"/>
    <n v="207.66320619999999"/>
  </r>
  <r>
    <s v="haircare"/>
    <s v="SKU70"/>
    <n v="47.914541819999997"/>
    <n v="90"/>
    <n v="32"/>
    <n v="7014.8879870000001"/>
    <x v="1"/>
    <n v="10"/>
    <n v="12"/>
    <n v="22"/>
    <n v="4"/>
    <s v="Carrier B"/>
    <n v="6.3157177549999997"/>
    <s v="Supplier 1"/>
    <x v="3"/>
    <n v="22"/>
    <n v="775"/>
    <n v="16"/>
    <n v="11.44078182"/>
    <s v="Pass"/>
    <n v="1.8305755990000001"/>
    <s v="Road"/>
    <s v="Route C"/>
    <n v="183.27289870000001"/>
  </r>
  <r>
    <s v="cosmetics"/>
    <s v="SKU71"/>
    <n v="6.3815331630000003"/>
    <n v="14"/>
    <n v="637"/>
    <n v="8180.3370850000001"/>
    <x v="1"/>
    <n v="76"/>
    <n v="2"/>
    <n v="26"/>
    <n v="6"/>
    <s v="Carrier A"/>
    <n v="9.2281903169999993"/>
    <s v="Supplier 2"/>
    <x v="3"/>
    <n v="2"/>
    <n v="258"/>
    <n v="10"/>
    <n v="30.661677480000002"/>
    <s v="Pending"/>
    <n v="2.078750608"/>
    <s v="Road"/>
    <s v="Route A"/>
    <n v="405.16706790000001"/>
  </r>
  <r>
    <s v="cosmetics"/>
    <s v="SKU72"/>
    <n v="90.204427519999996"/>
    <n v="88"/>
    <n v="478"/>
    <n v="2633.1219809999998"/>
    <x v="0"/>
    <n v="57"/>
    <n v="29"/>
    <n v="77"/>
    <n v="9"/>
    <s v="Carrier A"/>
    <n v="6.5996141599999998"/>
    <s v="Supplier 1"/>
    <x v="3"/>
    <n v="21"/>
    <n v="152"/>
    <n v="11"/>
    <n v="55.760492900000003"/>
    <s v="Pending"/>
    <n v="3.2133296069999999"/>
    <s v="Rail"/>
    <s v="Route B"/>
    <n v="677.94456979999995"/>
  </r>
  <r>
    <s v="cosmetics"/>
    <s v="SKU73"/>
    <n v="83.851017679999998"/>
    <n v="41"/>
    <n v="375"/>
    <n v="7910.8869160000004"/>
    <x v="3"/>
    <n v="17"/>
    <n v="25"/>
    <n v="66"/>
    <n v="5"/>
    <s v="Carrier B"/>
    <n v="1.512936837"/>
    <s v="Supplier 4"/>
    <x v="4"/>
    <n v="13"/>
    <n v="444"/>
    <n v="4"/>
    <n v="46.870238800000003"/>
    <s v="Fail"/>
    <n v="4.6205460650000001"/>
    <s v="Road"/>
    <s v="Route A"/>
    <n v="866.47280009999997"/>
  </r>
  <r>
    <s v="haircare"/>
    <s v="SKU74"/>
    <n v="3.1700114140000002"/>
    <n v="64"/>
    <n v="904"/>
    <n v="5709.9452959999999"/>
    <x v="1"/>
    <n v="41"/>
    <n v="6"/>
    <n v="1"/>
    <n v="5"/>
    <s v="Carrier A"/>
    <n v="5.2376546499999996"/>
    <s v="Supplier 4"/>
    <x v="2"/>
    <n v="1"/>
    <n v="919"/>
    <n v="9"/>
    <n v="80.580852160000006"/>
    <s v="Fail"/>
    <n v="0.39661272400000003"/>
    <s v="Rail"/>
    <s v="Route A"/>
    <n v="341.55265680000002"/>
  </r>
  <r>
    <s v="skincare"/>
    <s v="SKU75"/>
    <n v="92.996884230000006"/>
    <n v="29"/>
    <n v="106"/>
    <n v="1889.07359"/>
    <x v="0"/>
    <n v="16"/>
    <n v="20"/>
    <n v="56"/>
    <n v="10"/>
    <s v="Carrier C"/>
    <n v="2.4738977609999999"/>
    <s v="Supplier 1"/>
    <x v="4"/>
    <n v="25"/>
    <n v="759"/>
    <n v="11"/>
    <n v="48.064782639999997"/>
    <s v="Pass"/>
    <n v="2.0300690889999999"/>
    <s v="Air"/>
    <s v="Route C"/>
    <n v="873.12964799999997"/>
  </r>
  <r>
    <s v="haircare"/>
    <s v="SKU76"/>
    <n v="69.108799550000001"/>
    <n v="23"/>
    <n v="241"/>
    <n v="5328.3759840000002"/>
    <x v="3"/>
    <n v="38"/>
    <n v="1"/>
    <n v="22"/>
    <n v="10"/>
    <s v="Carrier A"/>
    <n v="7.0545383370000003"/>
    <s v="Supplier 2"/>
    <x v="3"/>
    <n v="25"/>
    <n v="985"/>
    <n v="24"/>
    <n v="64.323597800000002"/>
    <s v="Pending"/>
    <n v="2.1800374520000001"/>
    <s v="Rail"/>
    <s v="Route A"/>
    <n v="997.41345009999998"/>
  </r>
  <r>
    <s v="haircare"/>
    <s v="SKU77"/>
    <n v="57.449742960000002"/>
    <n v="14"/>
    <n v="359"/>
    <n v="2483.760178"/>
    <x v="2"/>
    <n v="96"/>
    <n v="28"/>
    <n v="57"/>
    <n v="4"/>
    <s v="Carrier B"/>
    <n v="6.7809466260000004"/>
    <s v="Supplier 1"/>
    <x v="1"/>
    <n v="26"/>
    <n v="334"/>
    <n v="5"/>
    <n v="42.952444749999998"/>
    <s v="Pass"/>
    <n v="3.0551418180000001"/>
    <s v="Road"/>
    <s v="Route B"/>
    <n v="852.5680989"/>
  </r>
  <r>
    <s v="haircare"/>
    <s v="SKU78"/>
    <n v="6.3068831760000004"/>
    <n v="50"/>
    <n v="946"/>
    <n v="1292.4584179999999"/>
    <x v="2"/>
    <n v="5"/>
    <n v="4"/>
    <n v="51"/>
    <n v="5"/>
    <s v="Carrier B"/>
    <n v="8.4670497709999992"/>
    <s v="Supplier 5"/>
    <x v="0"/>
    <n v="25"/>
    <n v="858"/>
    <n v="21"/>
    <n v="71.126514720000003"/>
    <s v="Pending"/>
    <n v="4.0968813319999997"/>
    <s v="Sea"/>
    <s v="Route C"/>
    <n v="323.59220340000002"/>
  </r>
  <r>
    <s v="haircare"/>
    <s v="SKU79"/>
    <n v="57.057031219999999"/>
    <n v="56"/>
    <n v="198"/>
    <n v="7888.7232679999997"/>
    <x v="0"/>
    <n v="31"/>
    <n v="25"/>
    <n v="20"/>
    <n v="1"/>
    <s v="Carrier B"/>
    <n v="6.4963253639999996"/>
    <s v="Supplier 3"/>
    <x v="3"/>
    <n v="5"/>
    <n v="228"/>
    <n v="12"/>
    <n v="57.870902919999999"/>
    <s v="Pending"/>
    <n v="0.16587162699999999"/>
    <s v="Air"/>
    <s v="Route C"/>
    <n v="351.50421929999999"/>
  </r>
  <r>
    <s v="skincare"/>
    <s v="SKU80"/>
    <n v="91.128318350000001"/>
    <n v="75"/>
    <n v="872"/>
    <n v="8651.6726830000007"/>
    <x v="2"/>
    <n v="39"/>
    <n v="14"/>
    <n v="41"/>
    <n v="2"/>
    <s v="Carrier C"/>
    <n v="2.8331846789999999"/>
    <s v="Supplier 3"/>
    <x v="4"/>
    <n v="8"/>
    <n v="202"/>
    <n v="5"/>
    <n v="76.961228019999993"/>
    <s v="Fail"/>
    <n v="2.849662199"/>
    <s v="Sea"/>
    <s v="Route B"/>
    <n v="787.77985049999995"/>
  </r>
  <r>
    <s v="haircare"/>
    <s v="SKU81"/>
    <n v="72.819206930000007"/>
    <n v="9"/>
    <n v="774"/>
    <n v="4384.4134000000004"/>
    <x v="2"/>
    <n v="48"/>
    <n v="6"/>
    <n v="8"/>
    <n v="5"/>
    <s v="Carrier B"/>
    <n v="4.0662775020000002"/>
    <s v="Supplier 3"/>
    <x v="2"/>
    <n v="28"/>
    <n v="698"/>
    <n v="1"/>
    <n v="19.789592939999999"/>
    <s v="Pending"/>
    <n v="2.5475471220000001"/>
    <s v="Rail"/>
    <s v="Route B"/>
    <n v="276.7783359"/>
  </r>
  <r>
    <s v="skincare"/>
    <s v="SKU82"/>
    <n v="17.03493074"/>
    <n v="13"/>
    <n v="336"/>
    <n v="2943.3818679999999"/>
    <x v="2"/>
    <n v="42"/>
    <n v="19"/>
    <n v="72"/>
    <n v="1"/>
    <s v="Carrier A"/>
    <n v="4.7081818740000001"/>
    <s v="Supplier 2"/>
    <x v="0"/>
    <n v="6"/>
    <n v="955"/>
    <n v="26"/>
    <n v="4.4652784350000001"/>
    <s v="Pending"/>
    <n v="4.1378770490000001"/>
    <s v="Road"/>
    <s v="Route C"/>
    <n v="589.97855560000005"/>
  </r>
  <r>
    <s v="haircare"/>
    <s v="SKU83"/>
    <n v="68.911246210000002"/>
    <n v="82"/>
    <n v="663"/>
    <n v="2411.7546320000001"/>
    <x v="2"/>
    <n v="65"/>
    <n v="24"/>
    <n v="7"/>
    <n v="8"/>
    <s v="Carrier B"/>
    <n v="4.9498395779999997"/>
    <s v="Supplier 1"/>
    <x v="3"/>
    <n v="20"/>
    <n v="443"/>
    <n v="5"/>
    <n v="97.730593799999994"/>
    <s v="Fail"/>
    <n v="0.77300613399999996"/>
    <s v="Road"/>
    <s v="Route A"/>
    <n v="682.9710182"/>
  </r>
  <r>
    <s v="haircare"/>
    <s v="SKU84"/>
    <n v="89.104367289999999"/>
    <n v="99"/>
    <n v="618"/>
    <n v="2048.2901000000002"/>
    <x v="2"/>
    <n v="73"/>
    <n v="26"/>
    <n v="80"/>
    <n v="10"/>
    <s v="Carrier A"/>
    <n v="8.3816156250000002"/>
    <s v="Supplier 5"/>
    <x v="4"/>
    <n v="24"/>
    <n v="589"/>
    <n v="22"/>
    <n v="33.808636509999999"/>
    <s v="Pass"/>
    <n v="4.8434565770000004"/>
    <s v="Air"/>
    <s v="Route B"/>
    <n v="465.45700599999998"/>
  </r>
  <r>
    <s v="cosmetics"/>
    <s v="SKU85"/>
    <n v="76.962994420000001"/>
    <n v="83"/>
    <n v="25"/>
    <n v="8684.6130589999993"/>
    <x v="1"/>
    <n v="15"/>
    <n v="18"/>
    <n v="66"/>
    <n v="2"/>
    <s v="Carrier C"/>
    <n v="8.2491687050000007"/>
    <s v="Supplier 5"/>
    <x v="4"/>
    <n v="4"/>
    <n v="211"/>
    <n v="2"/>
    <n v="69.929345519999998"/>
    <s v="Fail"/>
    <n v="1.3744289999999999"/>
    <s v="Road"/>
    <s v="Route B"/>
    <n v="842.68682999999999"/>
  </r>
  <r>
    <s v="skincare"/>
    <s v="SKU86"/>
    <n v="19.99817694"/>
    <n v="18"/>
    <n v="223"/>
    <n v="1229.5910289999999"/>
    <x v="2"/>
    <n v="32"/>
    <n v="14"/>
    <n v="22"/>
    <n v="6"/>
    <s v="Carrier B"/>
    <n v="1.4543053100000001"/>
    <s v="Supplier 1"/>
    <x v="0"/>
    <n v="4"/>
    <n v="569"/>
    <n v="18"/>
    <n v="74.608969999999999"/>
    <s v="Pass"/>
    <n v="2.051512931"/>
    <s v="Rail"/>
    <s v="Route A"/>
    <n v="264.2548898"/>
  </r>
  <r>
    <s v="haircare"/>
    <s v="SKU87"/>
    <n v="80.41403665"/>
    <n v="24"/>
    <n v="79"/>
    <n v="5133.8467010000004"/>
    <x v="3"/>
    <n v="5"/>
    <n v="7"/>
    <n v="55"/>
    <n v="10"/>
    <s v="Carrier A"/>
    <n v="6.5758037979999999"/>
    <s v="Supplier 3"/>
    <x v="4"/>
    <n v="27"/>
    <n v="523"/>
    <n v="17"/>
    <n v="28.696996819999999"/>
    <s v="Fail"/>
    <n v="3.693737788"/>
    <s v="Sea"/>
    <s v="Route B"/>
    <n v="879.35921770000004"/>
  </r>
  <r>
    <s v="cosmetics"/>
    <s v="SKU88"/>
    <n v="75.270406980000004"/>
    <n v="58"/>
    <n v="737"/>
    <n v="9444.7420330000004"/>
    <x v="3"/>
    <n v="60"/>
    <n v="18"/>
    <n v="85"/>
    <n v="7"/>
    <s v="Carrier A"/>
    <n v="3.8012531329999999"/>
    <s v="Supplier 2"/>
    <x v="0"/>
    <n v="21"/>
    <n v="953"/>
    <n v="11"/>
    <n v="68.184919059999999"/>
    <s v="Pending"/>
    <n v="0.72220440200000002"/>
    <s v="Sea"/>
    <s v="Route A"/>
    <n v="103.916248"/>
  </r>
  <r>
    <s v="cosmetics"/>
    <s v="SKU89"/>
    <n v="97.760085579999995"/>
    <n v="10"/>
    <n v="134"/>
    <n v="5924.6825669999998"/>
    <x v="2"/>
    <n v="90"/>
    <n v="1"/>
    <n v="27"/>
    <n v="8"/>
    <s v="Carrier B"/>
    <n v="9.9298162449999996"/>
    <s v="Supplier 1"/>
    <x v="1"/>
    <n v="23"/>
    <n v="370"/>
    <n v="11"/>
    <n v="46.603873380000003"/>
    <s v="Pending"/>
    <n v="1.9076657340000001"/>
    <s v="Rail"/>
    <s v="Route B"/>
    <n v="517.49997389999999"/>
  </r>
  <r>
    <s v="skincare"/>
    <s v="SKU90"/>
    <n v="13.8819135"/>
    <n v="56"/>
    <n v="320"/>
    <n v="9592.63357"/>
    <x v="0"/>
    <n v="66"/>
    <n v="18"/>
    <n v="96"/>
    <n v="7"/>
    <s v="Carrier B"/>
    <n v="7.674430708"/>
    <s v="Supplier 3"/>
    <x v="3"/>
    <n v="8"/>
    <n v="585"/>
    <n v="8"/>
    <n v="85.675963339999996"/>
    <s v="Pass"/>
    <n v="1.2193822240000001"/>
    <s v="Rail"/>
    <s v="Route B"/>
    <n v="990.07847249999998"/>
  </r>
  <r>
    <s v="cosmetics"/>
    <s v="SKU91"/>
    <n v="62.11196546"/>
    <n v="90"/>
    <n v="916"/>
    <n v="1935.2067939999999"/>
    <x v="3"/>
    <n v="98"/>
    <n v="22"/>
    <n v="85"/>
    <n v="7"/>
    <s v="Carrier B"/>
    <n v="7.4715140839999998"/>
    <s v="Supplier 4"/>
    <x v="2"/>
    <n v="5"/>
    <n v="207"/>
    <n v="28"/>
    <n v="39.772882500000001"/>
    <s v="Pending"/>
    <n v="0.62600185799999997"/>
    <s v="Rail"/>
    <s v="Route B"/>
    <n v="996.77831500000002"/>
  </r>
  <r>
    <s v="cosmetics"/>
    <s v="SKU92"/>
    <n v="47.71423308"/>
    <n v="44"/>
    <n v="276"/>
    <n v="2100.1297549999999"/>
    <x v="3"/>
    <n v="90"/>
    <n v="25"/>
    <n v="10"/>
    <n v="8"/>
    <s v="Carrier B"/>
    <n v="4.4695000260000004"/>
    <s v="Supplier 2"/>
    <x v="0"/>
    <n v="4"/>
    <n v="671"/>
    <n v="29"/>
    <n v="62.612690399999998"/>
    <s v="Pass"/>
    <n v="0.33343182500000002"/>
    <s v="Rail"/>
    <s v="Route B"/>
    <n v="230.0927825"/>
  </r>
  <r>
    <s v="haircare"/>
    <s v="SKU93"/>
    <n v="69.290830999999997"/>
    <n v="88"/>
    <n v="114"/>
    <n v="4531.4021339999999"/>
    <x v="2"/>
    <n v="63"/>
    <n v="17"/>
    <n v="66"/>
    <n v="1"/>
    <s v="Carrier C"/>
    <n v="7.0064320589999998"/>
    <s v="Supplier 4"/>
    <x v="4"/>
    <n v="21"/>
    <n v="824"/>
    <n v="20"/>
    <n v="35.633652339999998"/>
    <s v="Fail"/>
    <n v="4.165781795"/>
    <s v="Air"/>
    <s v="Route A"/>
    <n v="823.52384589999997"/>
  </r>
  <r>
    <s v="cosmetics"/>
    <s v="SKU94"/>
    <n v="3.0376887250000002"/>
    <n v="97"/>
    <n v="987"/>
    <n v="7888.3565470000003"/>
    <x v="2"/>
    <n v="77"/>
    <n v="26"/>
    <n v="72"/>
    <n v="9"/>
    <s v="Carrier B"/>
    <n v="6.9429459419999997"/>
    <s v="Supplier 2"/>
    <x v="2"/>
    <n v="12"/>
    <n v="908"/>
    <n v="14"/>
    <n v="60.387378609999999"/>
    <s v="Pass"/>
    <n v="1.463607498"/>
    <s v="Rail"/>
    <s v="Route B"/>
    <n v="846.665257"/>
  </r>
  <r>
    <s v="haircare"/>
    <s v="SKU95"/>
    <n v="77.90392722"/>
    <n v="65"/>
    <n v="672"/>
    <n v="7386.3639439999997"/>
    <x v="2"/>
    <n v="15"/>
    <n v="14"/>
    <n v="26"/>
    <n v="9"/>
    <s v="Carrier B"/>
    <n v="8.6303388699999992"/>
    <s v="Supplier 4"/>
    <x v="0"/>
    <n v="18"/>
    <n v="450"/>
    <n v="26"/>
    <n v="58.890685769999997"/>
    <s v="Pending"/>
    <n v="1.2108821299999999"/>
    <s v="Air"/>
    <s v="Route A"/>
    <n v="778.86424139999997"/>
  </r>
  <r>
    <s v="cosmetics"/>
    <s v="SKU96"/>
    <n v="24.423131420000001"/>
    <n v="29"/>
    <n v="324"/>
    <n v="7698.4247660000001"/>
    <x v="0"/>
    <n v="67"/>
    <n v="2"/>
    <n v="32"/>
    <n v="3"/>
    <s v="Carrier C"/>
    <n v="5.3528780439999997"/>
    <s v="Supplier 3"/>
    <x v="0"/>
    <n v="28"/>
    <n v="648"/>
    <n v="28"/>
    <n v="17.803756329999999"/>
    <s v="Pending"/>
    <n v="3.8720476810000002"/>
    <s v="Road"/>
    <s v="Route A"/>
    <n v="188.7421411"/>
  </r>
  <r>
    <s v="haircare"/>
    <s v="SKU97"/>
    <n v="3.5261112589999999"/>
    <n v="56"/>
    <n v="62"/>
    <n v="4370.9165800000001"/>
    <x v="3"/>
    <n v="46"/>
    <n v="19"/>
    <n v="4"/>
    <n v="9"/>
    <s v="Carrier A"/>
    <n v="7.9048456109999998"/>
    <s v="Supplier 4"/>
    <x v="0"/>
    <n v="10"/>
    <n v="535"/>
    <n v="13"/>
    <n v="65.765155930000006"/>
    <s v="Fail"/>
    <n v="3.376237835"/>
    <s v="Road"/>
    <s v="Route A"/>
    <n v="540.13242290000005"/>
  </r>
  <r>
    <s v="skincare"/>
    <s v="SKU98"/>
    <n v="19.754604870000001"/>
    <n v="43"/>
    <n v="913"/>
    <n v="8525.9525599999997"/>
    <x v="1"/>
    <n v="53"/>
    <n v="1"/>
    <n v="27"/>
    <n v="7"/>
    <s v="Carrier B"/>
    <n v="1.4098010949999999"/>
    <s v="Supplier 5"/>
    <x v="4"/>
    <n v="28"/>
    <n v="581"/>
    <n v="9"/>
    <n v="5.6046908640000002"/>
    <s v="Pending"/>
    <n v="2.9081221689999999"/>
    <s v="Rail"/>
    <s v="Route A"/>
    <n v="882.19886350000002"/>
  </r>
  <r>
    <s v="haircare"/>
    <s v="SKU99"/>
    <n v="68.5178327"/>
    <n v="17"/>
    <n v="627"/>
    <n v="9185.185829"/>
    <x v="2"/>
    <n v="55"/>
    <n v="8"/>
    <n v="59"/>
    <n v="6"/>
    <s v="Carrier B"/>
    <n v="1.311023756"/>
    <s v="Supplier 2"/>
    <x v="4"/>
    <n v="29"/>
    <n v="921"/>
    <n v="2"/>
    <n v="38.072898520000003"/>
    <s v="Fail"/>
    <n v="0.34602729100000001"/>
    <s v="Rail"/>
    <s v="Route B"/>
    <n v="210.743009"/>
  </r>
  <r>
    <s v="haircare"/>
    <s v="SKU0"/>
    <n v="69.808005539999996"/>
    <n v="55"/>
    <n v="802"/>
    <n v="8661.9967919999999"/>
    <x v="0"/>
    <n v="58"/>
    <n v="7"/>
    <n v="96"/>
    <n v="4"/>
    <s v="Carrier B"/>
    <n v="2.9565721389999999"/>
    <s v="Supplier 3"/>
    <x v="0"/>
    <n v="29"/>
    <n v="215"/>
    <n v="29"/>
    <n v="46.27987924"/>
    <s v="Pending"/>
    <n v="0.226410361"/>
    <s v="Road"/>
    <s v="Route B"/>
    <n v="187.75207549999999"/>
  </r>
  <r>
    <s v="skincare"/>
    <s v="SKU1"/>
    <n v="14.843523279999999"/>
    <n v="95"/>
    <n v="736"/>
    <n v="7460.9000649999998"/>
    <x v="1"/>
    <n v="53"/>
    <n v="30"/>
    <n v="37"/>
    <n v="2"/>
    <s v="Carrier A"/>
    <n v="9.7165747709999994"/>
    <s v="Supplier 3"/>
    <x v="0"/>
    <n v="23"/>
    <n v="517"/>
    <n v="30"/>
    <n v="33.616768950000001"/>
    <s v="Pending"/>
    <n v="4.8540680260000002"/>
    <s v="Road"/>
    <s v="Route B"/>
    <n v="503.06557909999998"/>
  </r>
  <r>
    <s v="haircare"/>
    <s v="SKU2"/>
    <n v="11.31968329"/>
    <n v="34"/>
    <n v="8"/>
    <n v="9577.7496260000007"/>
    <x v="2"/>
    <n v="1"/>
    <n v="10"/>
    <n v="88"/>
    <n v="2"/>
    <s v="Carrier B"/>
    <n v="8.0544792619999992"/>
    <s v="Supplier 1"/>
    <x v="0"/>
    <n v="12"/>
    <n v="971"/>
    <n v="27"/>
    <n v="30.688019350000001"/>
    <s v="Pending"/>
    <n v="4.5805926189999999"/>
    <s v="Air"/>
    <s v="Route C"/>
    <n v="141.9202818"/>
  </r>
  <r>
    <s v="skincare"/>
    <s v="SKU3"/>
    <n v="61.163343019999999"/>
    <n v="68"/>
    <n v="83"/>
    <n v="7766.8364259999998"/>
    <x v="0"/>
    <n v="23"/>
    <n v="13"/>
    <n v="59"/>
    <n v="6"/>
    <s v="Carrier C"/>
    <n v="1.729568564"/>
    <s v="Supplier 5"/>
    <x v="1"/>
    <n v="24"/>
    <n v="937"/>
    <n v="18"/>
    <n v="35.624741399999998"/>
    <s v="Fail"/>
    <n v="4.7466486210000003"/>
    <s v="Rail"/>
    <s v="Route A"/>
    <n v="254.7761592"/>
  </r>
  <r>
    <s v="skincare"/>
    <s v="SKU4"/>
    <n v="4.8054960360000001"/>
    <n v="26"/>
    <n v="871"/>
    <n v="2686.5051520000002"/>
    <x v="0"/>
    <n v="5"/>
    <n v="3"/>
    <n v="56"/>
    <n v="8"/>
    <s v="Carrier A"/>
    <n v="3.8905479160000001"/>
    <s v="Supplier 1"/>
    <x v="2"/>
    <n v="5"/>
    <n v="414"/>
    <n v="3"/>
    <n v="92.065160599999999"/>
    <s v="Fail"/>
    <n v="3.1455795229999999"/>
    <s v="Air"/>
    <s v="Route A"/>
    <n v="923.44063170000004"/>
  </r>
  <r>
    <s v="haircare"/>
    <s v="SKU5"/>
    <n v="1.699976014"/>
    <n v="87"/>
    <n v="147"/>
    <n v="2828.3487460000001"/>
    <x v="0"/>
    <n v="90"/>
    <n v="27"/>
    <n v="66"/>
    <n v="3"/>
    <s v="Carrier B"/>
    <n v="4.4440988639999999"/>
    <s v="Supplier 4"/>
    <x v="3"/>
    <n v="10"/>
    <n v="104"/>
    <n v="17"/>
    <n v="56.766475560000003"/>
    <s v="Fail"/>
    <n v="2.779193512"/>
    <s v="Road"/>
    <s v="Route A"/>
    <n v="235.4612367"/>
  </r>
  <r>
    <s v="skincare"/>
    <s v="SKU6"/>
    <n v="4.078332863"/>
    <n v="48"/>
    <n v="65"/>
    <n v="7823.4765600000001"/>
    <x v="3"/>
    <n v="11"/>
    <n v="15"/>
    <n v="58"/>
    <n v="8"/>
    <s v="Carrier C"/>
    <n v="3.8807633030000002"/>
    <s v="Supplier 3"/>
    <x v="1"/>
    <n v="14"/>
    <n v="314"/>
    <n v="24"/>
    <n v="1.08506857"/>
    <s v="Pending"/>
    <n v="1.0009106189999999"/>
    <s v="Sea"/>
    <s v="Route A"/>
    <n v="134.36909689999999"/>
  </r>
  <r>
    <s v="cosmetics"/>
    <s v="SKU7"/>
    <n v="42.958384379999998"/>
    <n v="59"/>
    <n v="426"/>
    <n v="8496.1038129999997"/>
    <x v="1"/>
    <n v="93"/>
    <n v="17"/>
    <n v="11"/>
    <n v="1"/>
    <s v="Carrier B"/>
    <n v="2.3483387840000001"/>
    <s v="Supplier 4"/>
    <x v="3"/>
    <n v="22"/>
    <n v="564"/>
    <n v="1"/>
    <n v="99.466108599999998"/>
    <s v="Fail"/>
    <n v="0.39817718699999999"/>
    <s v="Road"/>
    <s v="Route C"/>
    <n v="802.0563118"/>
  </r>
  <r>
    <s v="cosmetics"/>
    <s v="SKU8"/>
    <n v="68.717596749999998"/>
    <n v="78"/>
    <n v="150"/>
    <n v="7517.3632109999999"/>
    <x v="1"/>
    <n v="5"/>
    <n v="10"/>
    <n v="15"/>
    <n v="7"/>
    <s v="Carrier C"/>
    <n v="3.4047338570000001"/>
    <s v="Supplier 4"/>
    <x v="0"/>
    <n v="13"/>
    <n v="769"/>
    <n v="8"/>
    <n v="11.42302714"/>
    <s v="Pending"/>
    <n v="2.7098626910000001"/>
    <s v="Sea"/>
    <s v="Route B"/>
    <n v="505.55713420000001"/>
  </r>
  <r>
    <s v="skincare"/>
    <s v="SKU9"/>
    <n v="64.015732940000007"/>
    <n v="35"/>
    <n v="980"/>
    <n v="4971.1459880000002"/>
    <x v="2"/>
    <n v="14"/>
    <n v="27"/>
    <n v="83"/>
    <n v="1"/>
    <s v="Carrier A"/>
    <n v="7.166645291"/>
    <s v="Supplier 2"/>
    <x v="4"/>
    <n v="29"/>
    <n v="963"/>
    <n v="23"/>
    <n v="47.957601629999999"/>
    <s v="Pending"/>
    <n v="3.8446144790000001"/>
    <s v="Rail"/>
    <s v="Route B"/>
    <n v="995.9294615"/>
  </r>
  <r>
    <s v="skincare"/>
    <s v="SKU10"/>
    <n v="15.70779568"/>
    <n v="11"/>
    <n v="996"/>
    <n v="2330.9658020000002"/>
    <x v="0"/>
    <n v="51"/>
    <n v="13"/>
    <n v="80"/>
    <n v="2"/>
    <s v="Carrier C"/>
    <n v="8.6732112109999999"/>
    <s v="Supplier 5"/>
    <x v="1"/>
    <n v="18"/>
    <n v="830"/>
    <n v="5"/>
    <n v="96.527352789999995"/>
    <s v="Pass"/>
    <n v="1.7273139280000001"/>
    <s v="Road"/>
    <s v="Route B"/>
    <n v="806.10317769999995"/>
  </r>
  <r>
    <s v="skincare"/>
    <s v="SKU11"/>
    <n v="90.635459979999993"/>
    <n v="95"/>
    <n v="960"/>
    <n v="6099.9441159999997"/>
    <x v="1"/>
    <n v="46"/>
    <n v="23"/>
    <n v="60"/>
    <n v="1"/>
    <s v="Carrier A"/>
    <n v="4.5239431239999996"/>
    <s v="Supplier 2"/>
    <x v="1"/>
    <n v="28"/>
    <n v="362"/>
    <n v="11"/>
    <n v="27.592363089999999"/>
    <s v="Pending"/>
    <n v="2.1169820999999998E-2"/>
    <s v="Air"/>
    <s v="Route A"/>
    <n v="126.72303340000001"/>
  </r>
  <r>
    <s v="haircare"/>
    <s v="SKU12"/>
    <n v="71.213389079999999"/>
    <n v="41"/>
    <n v="336"/>
    <n v="2873.741446"/>
    <x v="2"/>
    <n v="100"/>
    <n v="30"/>
    <n v="85"/>
    <n v="4"/>
    <s v="Carrier A"/>
    <n v="1.32527401"/>
    <s v="Supplier 4"/>
    <x v="1"/>
    <n v="3"/>
    <n v="563"/>
    <n v="3"/>
    <n v="32.321286209999997"/>
    <s v="Fail"/>
    <n v="2.161253748"/>
    <s v="Road"/>
    <s v="Route B"/>
    <n v="402.96878909999998"/>
  </r>
  <r>
    <s v="skincare"/>
    <s v="SKU13"/>
    <n v="16.160393320000001"/>
    <n v="5"/>
    <n v="249"/>
    <n v="4052.7384160000001"/>
    <x v="3"/>
    <n v="80"/>
    <n v="8"/>
    <n v="48"/>
    <n v="9"/>
    <s v="Carrier A"/>
    <n v="9.5372830610000001"/>
    <s v="Supplier 5"/>
    <x v="3"/>
    <n v="23"/>
    <n v="173"/>
    <n v="10"/>
    <n v="97.829050109999997"/>
    <s v="Pending"/>
    <n v="1.6310742300000001"/>
    <s v="Road"/>
    <s v="Route B"/>
    <n v="547.24100520000002"/>
  </r>
  <r>
    <s v="skincare"/>
    <s v="SKU14"/>
    <n v="99.171328639999999"/>
    <n v="26"/>
    <n v="562"/>
    <n v="8653.5709260000003"/>
    <x v="0"/>
    <n v="54"/>
    <n v="29"/>
    <n v="78"/>
    <n v="5"/>
    <s v="Carrier B"/>
    <n v="2.039770189"/>
    <s v="Supplier 1"/>
    <x v="1"/>
    <n v="25"/>
    <n v="558"/>
    <n v="14"/>
    <n v="5.7914366299999998"/>
    <s v="Pending"/>
    <n v="0.100682852"/>
    <s v="Air"/>
    <s v="Route B"/>
    <n v="929.23528999999996"/>
  </r>
  <r>
    <s v="skincare"/>
    <s v="SKU15"/>
    <n v="36.989244929999998"/>
    <n v="94"/>
    <n v="469"/>
    <n v="5442.0867850000004"/>
    <x v="0"/>
    <n v="9"/>
    <n v="8"/>
    <n v="69"/>
    <n v="7"/>
    <s v="Carrier B"/>
    <n v="2.4220397230000001"/>
    <s v="Supplier 1"/>
    <x v="3"/>
    <n v="14"/>
    <n v="580"/>
    <n v="7"/>
    <n v="97.121281749999994"/>
    <s v="Pass"/>
    <n v="2.2644057609999999"/>
    <s v="Sea"/>
    <s v="Route B"/>
    <n v="127.8618"/>
  </r>
  <r>
    <s v="skincare"/>
    <s v="SKU16"/>
    <n v="7.54717211"/>
    <n v="74"/>
    <n v="280"/>
    <n v="6453.7979679999999"/>
    <x v="1"/>
    <n v="2"/>
    <n v="5"/>
    <n v="78"/>
    <n v="1"/>
    <s v="Carrier B"/>
    <n v="4.1913245860000004"/>
    <s v="Supplier 1"/>
    <x v="3"/>
    <n v="3"/>
    <n v="399"/>
    <n v="21"/>
    <n v="77.106342499999997"/>
    <s v="Pass"/>
    <n v="1.0125630889999999"/>
    <s v="Air"/>
    <s v="Route A"/>
    <n v="865.52577980000001"/>
  </r>
  <r>
    <s v="cosmetics"/>
    <s v="SKU17"/>
    <n v="81.46253437"/>
    <n v="82"/>
    <n v="126"/>
    <n v="2629.3964350000001"/>
    <x v="1"/>
    <n v="45"/>
    <n v="17"/>
    <n v="85"/>
    <n v="9"/>
    <s v="Carrier C"/>
    <n v="3.585418958"/>
    <s v="Supplier 1"/>
    <x v="4"/>
    <n v="7"/>
    <n v="453"/>
    <n v="16"/>
    <n v="47.67968037"/>
    <s v="Fail"/>
    <n v="0.102020755"/>
    <s v="Air"/>
    <s v="Route C"/>
    <n v="670.93439079999996"/>
  </r>
  <r>
    <s v="haircare"/>
    <s v="SKU18"/>
    <n v="36.443627769999999"/>
    <n v="23"/>
    <n v="620"/>
    <n v="9364.6735050000007"/>
    <x v="2"/>
    <n v="10"/>
    <n v="10"/>
    <n v="46"/>
    <n v="8"/>
    <s v="Carrier C"/>
    <n v="4.3392247140000002"/>
    <s v="Supplier 2"/>
    <x v="1"/>
    <n v="18"/>
    <n v="374"/>
    <n v="17"/>
    <n v="27.107980850000001"/>
    <s v="Pending"/>
    <n v="2.231939111"/>
    <s v="Sea"/>
    <s v="Route A"/>
    <n v="593.48025870000004"/>
  </r>
  <r>
    <s v="skincare"/>
    <s v="SKU19"/>
    <n v="51.123870089999997"/>
    <n v="100"/>
    <n v="187"/>
    <n v="2553.4955850000001"/>
    <x v="2"/>
    <n v="48"/>
    <n v="11"/>
    <n v="94"/>
    <n v="3"/>
    <s v="Carrier A"/>
    <n v="4.7426358830000002"/>
    <s v="Supplier 4"/>
    <x v="4"/>
    <n v="20"/>
    <n v="694"/>
    <n v="16"/>
    <n v="82.373320590000006"/>
    <s v="Fail"/>
    <n v="3.6464508649999998"/>
    <s v="Road"/>
    <s v="Route C"/>
    <n v="477.30763109999998"/>
  </r>
  <r>
    <s v="skincare"/>
    <s v="SKU20"/>
    <n v="96.341072440000005"/>
    <n v="22"/>
    <n v="320"/>
    <n v="8128.0276970000004"/>
    <x v="2"/>
    <n v="27"/>
    <n v="12"/>
    <n v="68"/>
    <n v="6"/>
    <s v="Carrier A"/>
    <n v="8.8783346509999994"/>
    <s v="Supplier 1"/>
    <x v="4"/>
    <n v="29"/>
    <n v="309"/>
    <n v="6"/>
    <n v="65.686259609999993"/>
    <s v="Pass"/>
    <n v="4.2314165739999998"/>
    <s v="Air"/>
    <s v="Route B"/>
    <n v="493.87121530000002"/>
  </r>
  <r>
    <s v="cosmetics"/>
    <s v="SKU21"/>
    <n v="84.893868979999993"/>
    <n v="60"/>
    <n v="601"/>
    <n v="7087.0526959999997"/>
    <x v="2"/>
    <n v="69"/>
    <n v="25"/>
    <n v="7"/>
    <n v="6"/>
    <s v="Carrier B"/>
    <n v="6.0378837689999996"/>
    <s v="Supplier 5"/>
    <x v="4"/>
    <n v="19"/>
    <n v="791"/>
    <n v="4"/>
    <n v="61.735728950000002"/>
    <s v="Pending"/>
    <n v="1.8607568000000001E-2"/>
    <s v="Air"/>
    <s v="Route C"/>
    <n v="523.36091469999997"/>
  </r>
  <r>
    <s v="haircare"/>
    <s v="SKU22"/>
    <n v="27.67978089"/>
    <n v="55"/>
    <n v="884"/>
    <n v="2390.807867"/>
    <x v="2"/>
    <n v="71"/>
    <n v="1"/>
    <n v="63"/>
    <n v="10"/>
    <s v="Carrier A"/>
    <n v="9.567648921"/>
    <s v="Supplier 4"/>
    <x v="1"/>
    <n v="22"/>
    <n v="780"/>
    <n v="28"/>
    <n v="50.120839609999997"/>
    <s v="Fail"/>
    <n v="2.5912754730000001"/>
    <s v="Rail"/>
    <s v="Route C"/>
    <n v="205.5719958"/>
  </r>
  <r>
    <s v="cosmetics"/>
    <s v="SKU23"/>
    <n v="4.3243411859999998"/>
    <n v="30"/>
    <n v="391"/>
    <n v="8858.3675710000007"/>
    <x v="2"/>
    <n v="84"/>
    <n v="5"/>
    <n v="29"/>
    <n v="7"/>
    <s v="Carrier A"/>
    <n v="2.9248576009999998"/>
    <s v="Supplier 5"/>
    <x v="1"/>
    <n v="11"/>
    <n v="568"/>
    <n v="29"/>
    <n v="98.60995724"/>
    <s v="Pending"/>
    <n v="1.3422915630000001"/>
    <s v="Rail"/>
    <s v="Route A"/>
    <n v="196.32944610000001"/>
  </r>
  <r>
    <s v="haircare"/>
    <s v="SKU24"/>
    <n v="4.1563083589999996"/>
    <n v="32"/>
    <n v="209"/>
    <n v="9049.0778609999998"/>
    <x v="3"/>
    <n v="4"/>
    <n v="26"/>
    <n v="2"/>
    <n v="8"/>
    <s v="Carrier C"/>
    <n v="9.7412916890000005"/>
    <s v="Supplier 2"/>
    <x v="3"/>
    <n v="28"/>
    <n v="447"/>
    <n v="3"/>
    <n v="40.382359700000002"/>
    <s v="Pending"/>
    <n v="3.6913102929999999"/>
    <s v="Air"/>
    <s v="Route A"/>
    <n v="758.72477260000005"/>
  </r>
  <r>
    <s v="haircare"/>
    <s v="SKU25"/>
    <n v="39.629343990000002"/>
    <n v="73"/>
    <n v="142"/>
    <n v="2174.7770540000001"/>
    <x v="3"/>
    <n v="82"/>
    <n v="11"/>
    <n v="52"/>
    <n v="3"/>
    <s v="Carrier C"/>
    <n v="2.2310736809999998"/>
    <s v="Supplier 4"/>
    <x v="1"/>
    <n v="19"/>
    <n v="934"/>
    <n v="23"/>
    <n v="78.280383119999996"/>
    <s v="Pending"/>
    <n v="3.7972312170000002"/>
    <s v="Road"/>
    <s v="Route B"/>
    <n v="458.53594570000001"/>
  </r>
  <r>
    <s v="haircare"/>
    <s v="SKU26"/>
    <n v="97.446946620000006"/>
    <n v="9"/>
    <n v="353"/>
    <n v="3716.4933259999998"/>
    <x v="3"/>
    <n v="59"/>
    <n v="16"/>
    <n v="48"/>
    <n v="4"/>
    <s v="Carrier B"/>
    <n v="6.5075486209999998"/>
    <s v="Supplier 2"/>
    <x v="3"/>
    <n v="26"/>
    <n v="171"/>
    <n v="4"/>
    <n v="15.972229759999999"/>
    <s v="Pass"/>
    <n v="2.1193197370000001"/>
    <s v="Rail"/>
    <s v="Route A"/>
    <n v="617.8669165"/>
  </r>
  <r>
    <s v="cosmetics"/>
    <s v="SKU27"/>
    <n v="92.557360810000006"/>
    <n v="42"/>
    <n v="352"/>
    <n v="2686.4572240000002"/>
    <x v="2"/>
    <n v="47"/>
    <n v="9"/>
    <n v="62"/>
    <n v="8"/>
    <s v="Carrier C"/>
    <n v="7.4067509530000004"/>
    <s v="Supplier 5"/>
    <x v="0"/>
    <n v="25"/>
    <n v="291"/>
    <n v="4"/>
    <n v="10.528245070000001"/>
    <s v="Fail"/>
    <n v="2.8646678379999999"/>
    <s v="Sea"/>
    <s v="Route B"/>
    <n v="762.45918219999999"/>
  </r>
  <r>
    <s v="cosmetics"/>
    <s v="SKU28"/>
    <n v="2.3972747060000001"/>
    <n v="12"/>
    <n v="394"/>
    <n v="6117.3246150000004"/>
    <x v="1"/>
    <n v="48"/>
    <n v="15"/>
    <n v="24"/>
    <n v="4"/>
    <s v="Carrier B"/>
    <n v="9.8981405079999991"/>
    <s v="Supplier 1"/>
    <x v="0"/>
    <n v="13"/>
    <n v="171"/>
    <n v="7"/>
    <n v="59.429381810000002"/>
    <s v="Fail"/>
    <n v="0.81575707900000005"/>
    <s v="Air"/>
    <s v="Route A"/>
    <n v="123.4370275"/>
  </r>
  <r>
    <s v="cosmetics"/>
    <s v="SKU29"/>
    <n v="63.44755919"/>
    <n v="3"/>
    <n v="253"/>
    <n v="8318.9031950000008"/>
    <x v="1"/>
    <n v="45"/>
    <n v="5"/>
    <n v="67"/>
    <n v="7"/>
    <s v="Carrier B"/>
    <n v="8.1009731449999993"/>
    <s v="Supplier 1"/>
    <x v="1"/>
    <n v="16"/>
    <n v="329"/>
    <n v="7"/>
    <n v="39.292875590000001"/>
    <s v="Pass"/>
    <n v="3.8780989369999999"/>
    <s v="Road"/>
    <s v="Route B"/>
    <n v="764.93537590000005"/>
  </r>
  <r>
    <s v="haircare"/>
    <s v="SKU30"/>
    <n v="8.0228592110000001"/>
    <n v="10"/>
    <n v="327"/>
    <n v="2766.3423670000002"/>
    <x v="3"/>
    <n v="60"/>
    <n v="26"/>
    <n v="35"/>
    <n v="7"/>
    <s v="Carrier B"/>
    <n v="8.9545283149999992"/>
    <s v="Supplier 4"/>
    <x v="1"/>
    <n v="27"/>
    <n v="806"/>
    <n v="30"/>
    <n v="51.634893400000003"/>
    <s v="Pending"/>
    <n v="0.96539470500000002"/>
    <s v="Road"/>
    <s v="Route C"/>
    <n v="880.08098819999998"/>
  </r>
  <r>
    <s v="skincare"/>
    <s v="SKU31"/>
    <n v="50.847393050000001"/>
    <n v="28"/>
    <n v="168"/>
    <n v="9655.1351030000005"/>
    <x v="3"/>
    <n v="6"/>
    <n v="17"/>
    <n v="44"/>
    <n v="4"/>
    <s v="Carrier B"/>
    <n v="2.6796609650000001"/>
    <s v="Supplier 3"/>
    <x v="4"/>
    <n v="24"/>
    <n v="461"/>
    <n v="8"/>
    <n v="60.251145659999999"/>
    <s v="Pending"/>
    <n v="2.989000007"/>
    <s v="Rail"/>
    <s v="Route C"/>
    <n v="609.37920659999997"/>
  </r>
  <r>
    <s v="skincare"/>
    <s v="SKU32"/>
    <n v="79.209936020000001"/>
    <n v="43"/>
    <n v="781"/>
    <n v="9571.5504870000004"/>
    <x v="2"/>
    <n v="89"/>
    <n v="13"/>
    <n v="64"/>
    <n v="4"/>
    <s v="Carrier C"/>
    <n v="6.5991049009999996"/>
    <s v="Supplier 3"/>
    <x v="1"/>
    <n v="30"/>
    <n v="737"/>
    <n v="7"/>
    <n v="29.692467149999999"/>
    <s v="Pass"/>
    <n v="1.946036119"/>
    <s v="Road"/>
    <s v="Route A"/>
    <n v="761.17390950000004"/>
  </r>
  <r>
    <s v="cosmetics"/>
    <s v="SKU33"/>
    <n v="64.795434999999998"/>
    <n v="63"/>
    <n v="616"/>
    <n v="5149.9983499999998"/>
    <x v="0"/>
    <n v="4"/>
    <n v="17"/>
    <n v="95"/>
    <n v="9"/>
    <s v="Carrier C"/>
    <n v="4.858270503"/>
    <s v="Supplier 5"/>
    <x v="4"/>
    <n v="1"/>
    <n v="251"/>
    <n v="23"/>
    <n v="23.85342751"/>
    <s v="Fail"/>
    <n v="3.5410460119999998"/>
    <s v="Sea"/>
    <s v="Route A"/>
    <n v="371.25529549999999"/>
  </r>
  <r>
    <s v="skincare"/>
    <s v="SKU34"/>
    <n v="37.467592330000002"/>
    <n v="96"/>
    <n v="602"/>
    <n v="9061.7108960000005"/>
    <x v="2"/>
    <n v="1"/>
    <n v="26"/>
    <n v="21"/>
    <n v="7"/>
    <s v="Carrier A"/>
    <n v="1.019487571"/>
    <s v="Supplier 1"/>
    <x v="4"/>
    <n v="4"/>
    <n v="452"/>
    <n v="10"/>
    <n v="10.754272820000001"/>
    <s v="Pass"/>
    <n v="0.64660455900000002"/>
    <s v="Road"/>
    <s v="Route B"/>
    <n v="510.35800039999998"/>
  </r>
  <r>
    <s v="cosmetics"/>
    <s v="SKU35"/>
    <n v="84.957786819999995"/>
    <n v="11"/>
    <n v="449"/>
    <n v="6541.3293450000001"/>
    <x v="1"/>
    <n v="42"/>
    <n v="27"/>
    <n v="85"/>
    <n v="8"/>
    <s v="Carrier C"/>
    <n v="5.2881899900000002"/>
    <s v="Supplier 1"/>
    <x v="2"/>
    <n v="3"/>
    <n v="367"/>
    <n v="2"/>
    <n v="58.004787039999997"/>
    <s v="Pass"/>
    <n v="0.54115409800000003"/>
    <s v="Sea"/>
    <s v="Route C"/>
    <n v="553.42047119999995"/>
  </r>
  <r>
    <s v="skincare"/>
    <s v="SKU36"/>
    <n v="9.8130025790000008"/>
    <n v="34"/>
    <n v="963"/>
    <n v="7573.4024579999996"/>
    <x v="1"/>
    <n v="18"/>
    <n v="23"/>
    <n v="28"/>
    <n v="3"/>
    <s v="Carrier B"/>
    <n v="2.1079512669999998"/>
    <s v="Supplier 2"/>
    <x v="2"/>
    <n v="26"/>
    <n v="671"/>
    <n v="19"/>
    <n v="45.531364240000002"/>
    <s v="Fail"/>
    <n v="3.8055333789999999"/>
    <s v="Air"/>
    <s v="Route C"/>
    <n v="403.80897420000002"/>
  </r>
  <r>
    <s v="skincare"/>
    <s v="SKU37"/>
    <n v="23.39984475"/>
    <n v="5"/>
    <n v="963"/>
    <n v="2438.3399300000001"/>
    <x v="1"/>
    <n v="25"/>
    <n v="8"/>
    <n v="21"/>
    <n v="9"/>
    <s v="Carrier A"/>
    <n v="1.5326552739999999"/>
    <s v="Supplier 3"/>
    <x v="1"/>
    <n v="24"/>
    <n v="867"/>
    <n v="15"/>
    <n v="34.343277469999997"/>
    <s v="Pending"/>
    <n v="2.6102880850000001"/>
    <s v="Sea"/>
    <s v="Route A"/>
    <n v="183.93296799999999"/>
  </r>
  <r>
    <s v="cosmetics"/>
    <s v="SKU38"/>
    <n v="52.075930679999999"/>
    <n v="75"/>
    <n v="705"/>
    <n v="9692.3180400000001"/>
    <x v="0"/>
    <n v="69"/>
    <n v="1"/>
    <n v="88"/>
    <n v="5"/>
    <s v="Carrier B"/>
    <n v="9.2359314369999996"/>
    <s v="Supplier 5"/>
    <x v="0"/>
    <n v="10"/>
    <n v="841"/>
    <n v="12"/>
    <n v="5.9306936459999999"/>
    <s v="Pending"/>
    <n v="0.61332689900000004"/>
    <s v="Air"/>
    <s v="Route B"/>
    <n v="339.67286990000002"/>
  </r>
  <r>
    <s v="skincare"/>
    <s v="SKU39"/>
    <n v="19.12747727"/>
    <n v="26"/>
    <n v="176"/>
    <n v="1912.4656629999999"/>
    <x v="1"/>
    <n v="78"/>
    <n v="29"/>
    <n v="34"/>
    <n v="3"/>
    <s v="Carrier A"/>
    <n v="5.562503779"/>
    <s v="Supplier 2"/>
    <x v="1"/>
    <n v="30"/>
    <n v="791"/>
    <n v="6"/>
    <n v="9.0058074290000008"/>
    <s v="Fail"/>
    <n v="1.451972204"/>
    <s v="Air"/>
    <s v="Route B"/>
    <n v="653.67299460000004"/>
  </r>
  <r>
    <s v="skincare"/>
    <s v="SKU40"/>
    <n v="80.541424169999999"/>
    <n v="97"/>
    <n v="933"/>
    <n v="5724.9593500000001"/>
    <x v="1"/>
    <n v="90"/>
    <n v="20"/>
    <n v="39"/>
    <n v="8"/>
    <s v="Carrier C"/>
    <n v="7.2295951399999998"/>
    <s v="Supplier 1"/>
    <x v="1"/>
    <n v="18"/>
    <n v="793"/>
    <n v="1"/>
    <n v="88.179407100000006"/>
    <s v="Pending"/>
    <n v="4.2132694309999996"/>
    <s v="Road"/>
    <s v="Route A"/>
    <n v="529.80872399999998"/>
  </r>
  <r>
    <s v="skincare"/>
    <s v="SKU41"/>
    <n v="99.113291619999998"/>
    <n v="35"/>
    <n v="556"/>
    <n v="5521.2052590000003"/>
    <x v="1"/>
    <n v="64"/>
    <n v="19"/>
    <n v="38"/>
    <n v="8"/>
    <s v="Carrier B"/>
    <n v="5.7732637440000003"/>
    <s v="Supplier 4"/>
    <x v="4"/>
    <n v="18"/>
    <n v="892"/>
    <n v="7"/>
    <n v="95.332064549999998"/>
    <s v="Fail"/>
    <n v="4.5302262000000003E-2"/>
    <s v="Sea"/>
    <s v="Route A"/>
    <n v="275.5243711"/>
  </r>
  <r>
    <s v="skincare"/>
    <s v="SKU42"/>
    <n v="46.529167610000002"/>
    <n v="98"/>
    <n v="155"/>
    <n v="1839.609426"/>
    <x v="1"/>
    <n v="22"/>
    <n v="27"/>
    <n v="57"/>
    <n v="4"/>
    <s v="Carrier C"/>
    <n v="7.5262483270000002"/>
    <s v="Supplier 5"/>
    <x v="3"/>
    <n v="26"/>
    <n v="179"/>
    <n v="7"/>
    <n v="96.422820639999998"/>
    <s v="Fail"/>
    <n v="4.9392552890000001"/>
    <s v="Road"/>
    <s v="Route A"/>
    <n v="635.65712050000002"/>
  </r>
  <r>
    <s v="haircare"/>
    <s v="SKU43"/>
    <n v="11.743271780000001"/>
    <n v="6"/>
    <n v="598"/>
    <n v="5737.4255990000001"/>
    <x v="2"/>
    <n v="36"/>
    <n v="29"/>
    <n v="85"/>
    <n v="9"/>
    <s v="Carrier B"/>
    <n v="3.6940212680000002"/>
    <s v="Supplier 5"/>
    <x v="0"/>
    <n v="1"/>
    <n v="206"/>
    <n v="23"/>
    <n v="26.277365960000001"/>
    <s v="Pending"/>
    <n v="0.37230476800000001"/>
    <s v="Air"/>
    <s v="Route A"/>
    <n v="716.04411979999998"/>
  </r>
  <r>
    <s v="cosmetics"/>
    <s v="SKU44"/>
    <n v="51.355790910000003"/>
    <n v="34"/>
    <n v="919"/>
    <n v="7152.2860490000003"/>
    <x v="1"/>
    <n v="13"/>
    <n v="19"/>
    <n v="72"/>
    <n v="6"/>
    <s v="Carrier C"/>
    <n v="7.5774496569999998"/>
    <s v="Supplier 2"/>
    <x v="2"/>
    <n v="7"/>
    <n v="834"/>
    <n v="18"/>
    <n v="22.554106619999999"/>
    <s v="Fail"/>
    <n v="2.96262632"/>
    <s v="Rail"/>
    <s v="Route A"/>
    <n v="610.4532696"/>
  </r>
  <r>
    <s v="haircare"/>
    <s v="SKU45"/>
    <n v="33.784138030000001"/>
    <n v="1"/>
    <n v="24"/>
    <n v="5267.9568079999999"/>
    <x v="3"/>
    <n v="93"/>
    <n v="7"/>
    <n v="52"/>
    <n v="6"/>
    <s v="Carrier B"/>
    <n v="5.2151550090000001"/>
    <s v="Supplier 2"/>
    <x v="4"/>
    <n v="25"/>
    <n v="794"/>
    <n v="25"/>
    <n v="66.312544439999996"/>
    <s v="Pass"/>
    <n v="3.2196046119999999"/>
    <s v="Rail"/>
    <s v="Route A"/>
    <n v="495.30569700000001"/>
  </r>
  <r>
    <s v="haircare"/>
    <s v="SKU46"/>
    <n v="27.082207199999999"/>
    <n v="75"/>
    <n v="859"/>
    <n v="2556.7673610000002"/>
    <x v="0"/>
    <n v="92"/>
    <n v="29"/>
    <n v="6"/>
    <n v="8"/>
    <s v="Carrier B"/>
    <n v="4.0709558369999996"/>
    <s v="Supplier 3"/>
    <x v="4"/>
    <n v="18"/>
    <n v="870"/>
    <n v="23"/>
    <n v="77.322353210000003"/>
    <s v="Pending"/>
    <n v="3.6486105929999999"/>
    <s v="Road"/>
    <s v="Route B"/>
    <n v="380.43593709999999"/>
  </r>
  <r>
    <s v="skincare"/>
    <s v="SKU47"/>
    <n v="95.712135880000005"/>
    <n v="93"/>
    <n v="910"/>
    <n v="7089.4742500000002"/>
    <x v="3"/>
    <n v="4"/>
    <n v="15"/>
    <n v="51"/>
    <n v="9"/>
    <s v="Carrier B"/>
    <n v="8.9787507560000002"/>
    <s v="Supplier 1"/>
    <x v="1"/>
    <n v="10"/>
    <n v="964"/>
    <n v="20"/>
    <n v="19.712992910000001"/>
    <s v="Pending"/>
    <n v="0.38057358699999999"/>
    <s v="Rail"/>
    <s v="Route A"/>
    <n v="581.60235509999995"/>
  </r>
  <r>
    <s v="haircare"/>
    <s v="SKU48"/>
    <n v="76.035544430000002"/>
    <n v="28"/>
    <n v="29"/>
    <n v="7397.0710049999998"/>
    <x v="0"/>
    <n v="30"/>
    <n v="16"/>
    <n v="9"/>
    <n v="3"/>
    <s v="Carrier C"/>
    <n v="7.0958331570000004"/>
    <s v="Supplier 2"/>
    <x v="0"/>
    <n v="9"/>
    <n v="109"/>
    <n v="18"/>
    <n v="23.12636358"/>
    <s v="Fail"/>
    <n v="1.698112541"/>
    <s v="Rail"/>
    <s v="Route B"/>
    <n v="768.65191400000003"/>
  </r>
  <r>
    <s v="cosmetics"/>
    <s v="SKU49"/>
    <n v="78.897913209999999"/>
    <n v="19"/>
    <n v="99"/>
    <n v="8001.6132070000003"/>
    <x v="2"/>
    <n v="97"/>
    <n v="24"/>
    <n v="9"/>
    <n v="6"/>
    <s v="Carrier C"/>
    <n v="2.5056210330000002"/>
    <s v="Supplier 5"/>
    <x v="2"/>
    <n v="28"/>
    <n v="177"/>
    <n v="28"/>
    <n v="14.14781544"/>
    <s v="Pass"/>
    <n v="2.8258139849999999"/>
    <s v="Rail"/>
    <s v="Route A"/>
    <n v="336.89016850000002"/>
  </r>
  <r>
    <s v="cosmetics"/>
    <s v="SKU50"/>
    <n v="14.20348426"/>
    <n v="91"/>
    <n v="633"/>
    <n v="5910.8853900000004"/>
    <x v="1"/>
    <n v="31"/>
    <n v="23"/>
    <n v="82"/>
    <n v="10"/>
    <s v="Carrier A"/>
    <n v="6.2478609150000004"/>
    <s v="Supplier 2"/>
    <x v="2"/>
    <n v="20"/>
    <n v="306"/>
    <n v="21"/>
    <n v="45.178757920000002"/>
    <s v="Fail"/>
    <n v="4.7548008050000004"/>
    <s v="Rail"/>
    <s v="Route B"/>
    <n v="496.24865030000001"/>
  </r>
  <r>
    <s v="haircare"/>
    <s v="SKU51"/>
    <n v="26.700760970000001"/>
    <n v="61"/>
    <n v="154"/>
    <n v="9866.4654580000006"/>
    <x v="3"/>
    <n v="100"/>
    <n v="4"/>
    <n v="52"/>
    <n v="1"/>
    <s v="Carrier A"/>
    <n v="4.7830005580000003"/>
    <s v="Supplier 5"/>
    <x v="3"/>
    <n v="18"/>
    <n v="673"/>
    <n v="28"/>
    <n v="14.190328340000001"/>
    <s v="Pending"/>
    <n v="1.772951172"/>
    <s v="Road"/>
    <s v="Route A"/>
    <n v="694.98231759999999"/>
  </r>
  <r>
    <s v="skincare"/>
    <s v="SKU52"/>
    <n v="98.03182966"/>
    <n v="1"/>
    <n v="820"/>
    <n v="9435.7626089999994"/>
    <x v="3"/>
    <n v="64"/>
    <n v="11"/>
    <n v="11"/>
    <n v="1"/>
    <s v="Carrier B"/>
    <n v="8.6310521799999993"/>
    <s v="Supplier 1"/>
    <x v="0"/>
    <n v="10"/>
    <n v="727"/>
    <n v="27"/>
    <n v="9.1668491490000008"/>
    <s v="Pending"/>
    <n v="2.1224716190000001"/>
    <s v="Air"/>
    <s v="Route C"/>
    <n v="602.89849879999997"/>
  </r>
  <r>
    <s v="skincare"/>
    <s v="SKU53"/>
    <n v="30.341470709999999"/>
    <n v="93"/>
    <n v="242"/>
    <n v="8232.3348289999994"/>
    <x v="3"/>
    <n v="96"/>
    <n v="25"/>
    <n v="54"/>
    <n v="3"/>
    <s v="Carrier B"/>
    <n v="1.0134865660000001"/>
    <s v="Supplier 1"/>
    <x v="2"/>
    <n v="1"/>
    <n v="631"/>
    <n v="17"/>
    <n v="83.344058989999994"/>
    <s v="Pending"/>
    <n v="1.4103475759999999"/>
    <s v="Air"/>
    <s v="Route B"/>
    <n v="750.73784069999999"/>
  </r>
  <r>
    <s v="haircare"/>
    <s v="SKU54"/>
    <n v="31.146243160000001"/>
    <n v="11"/>
    <n v="622"/>
    <n v="6088.0214800000003"/>
    <x v="0"/>
    <n v="33"/>
    <n v="22"/>
    <n v="61"/>
    <n v="3"/>
    <s v="Carrier B"/>
    <n v="4.3051034709999998"/>
    <s v="Supplier 1"/>
    <x v="1"/>
    <n v="26"/>
    <n v="497"/>
    <n v="29"/>
    <n v="30.186023380000002"/>
    <s v="Pass"/>
    <n v="2.478771976"/>
    <s v="Road"/>
    <s v="Route B"/>
    <n v="814.06999659999997"/>
  </r>
  <r>
    <s v="haircare"/>
    <s v="SKU55"/>
    <n v="79.855058339999999"/>
    <n v="16"/>
    <n v="701"/>
    <n v="2925.67517"/>
    <x v="3"/>
    <n v="97"/>
    <n v="11"/>
    <n v="11"/>
    <n v="5"/>
    <s v="Carrier A"/>
    <n v="5.0143649549999996"/>
    <s v="Supplier 2"/>
    <x v="2"/>
    <n v="27"/>
    <n v="918"/>
    <n v="5"/>
    <n v="30.32354526"/>
    <s v="Fail"/>
    <n v="4.5489196590000001"/>
    <s v="Sea"/>
    <s v="Route B"/>
    <n v="323.01292799999999"/>
  </r>
  <r>
    <s v="skincare"/>
    <s v="SKU56"/>
    <n v="20.986386039999999"/>
    <n v="90"/>
    <n v="93"/>
    <n v="4767.0204839999997"/>
    <x v="0"/>
    <n v="25"/>
    <n v="23"/>
    <n v="83"/>
    <n v="5"/>
    <s v="Carrier C"/>
    <n v="1.774429714"/>
    <s v="Supplier 1"/>
    <x v="0"/>
    <n v="24"/>
    <n v="826"/>
    <n v="28"/>
    <n v="12.83628457"/>
    <s v="Pass"/>
    <n v="1.173755495"/>
    <s v="Air"/>
    <s v="Route B"/>
    <n v="832.21080870000003"/>
  </r>
  <r>
    <s v="haircare"/>
    <s v="SKU57"/>
    <n v="49.26320535"/>
    <n v="65"/>
    <n v="227"/>
    <n v="1605.8669"/>
    <x v="2"/>
    <n v="5"/>
    <n v="18"/>
    <n v="51"/>
    <n v="1"/>
    <s v="Carrier B"/>
    <n v="9.1605585349999998"/>
    <s v="Supplier 2"/>
    <x v="2"/>
    <n v="21"/>
    <n v="588"/>
    <n v="25"/>
    <n v="67.779622989999993"/>
    <s v="Pending"/>
    <n v="2.5111748299999999"/>
    <s v="Rail"/>
    <s v="Route A"/>
    <n v="482.19123860000002"/>
  </r>
  <r>
    <s v="skincare"/>
    <s v="SKU58"/>
    <n v="59.841561380000002"/>
    <n v="81"/>
    <n v="896"/>
    <n v="2021.1498099999999"/>
    <x v="0"/>
    <n v="10"/>
    <n v="5"/>
    <n v="44"/>
    <n v="7"/>
    <s v="Carrier A"/>
    <n v="4.9384385650000002"/>
    <s v="Supplier 3"/>
    <x v="2"/>
    <n v="18"/>
    <n v="396"/>
    <n v="7"/>
    <n v="65.047415090000001"/>
    <s v="Fail"/>
    <n v="1.7303747199999999"/>
    <s v="Road"/>
    <s v="Route B"/>
    <n v="110.3643352"/>
  </r>
  <r>
    <s v="cosmetics"/>
    <s v="SKU59"/>
    <n v="63.828398350000001"/>
    <n v="30"/>
    <n v="484"/>
    <n v="1061.6185230000001"/>
    <x v="0"/>
    <n v="100"/>
    <n v="16"/>
    <n v="26"/>
    <n v="7"/>
    <s v="Carrier B"/>
    <n v="7.2937225970000004"/>
    <s v="Supplier 1"/>
    <x v="1"/>
    <n v="11"/>
    <n v="176"/>
    <n v="4"/>
    <n v="1.900762244"/>
    <s v="Fail"/>
    <n v="0.447194015"/>
    <s v="Air"/>
    <s v="Route A"/>
    <n v="312.57427360000003"/>
  </r>
  <r>
    <s v="skincare"/>
    <s v="SKU60"/>
    <n v="17.02802792"/>
    <n v="16"/>
    <n v="380"/>
    <n v="8864.0843499999992"/>
    <x v="1"/>
    <n v="41"/>
    <n v="27"/>
    <n v="72"/>
    <n v="8"/>
    <s v="Carrier C"/>
    <n v="4.3813681579999999"/>
    <s v="Supplier 4"/>
    <x v="0"/>
    <n v="29"/>
    <n v="929"/>
    <n v="24"/>
    <n v="87.213057820000003"/>
    <s v="Fail"/>
    <n v="2.8530906169999999"/>
    <s v="Rail"/>
    <s v="Route A"/>
    <n v="430.16909700000002"/>
  </r>
  <r>
    <s v="haircare"/>
    <s v="SKU61"/>
    <n v="52.028749900000001"/>
    <n v="23"/>
    <n v="117"/>
    <n v="6885.5893509999996"/>
    <x v="2"/>
    <n v="32"/>
    <n v="23"/>
    <n v="36"/>
    <n v="7"/>
    <s v="Carrier C"/>
    <n v="9.0303404230000002"/>
    <s v="Supplier 4"/>
    <x v="1"/>
    <n v="14"/>
    <n v="480"/>
    <n v="12"/>
    <n v="78.702393970000003"/>
    <s v="Fail"/>
    <n v="4.3674705380000001"/>
    <s v="Air"/>
    <s v="Route A"/>
    <n v="164.3665282"/>
  </r>
  <r>
    <s v="cosmetics"/>
    <s v="SKU62"/>
    <n v="72.796353960000005"/>
    <n v="89"/>
    <n v="270"/>
    <n v="3899.746834"/>
    <x v="2"/>
    <n v="86"/>
    <n v="2"/>
    <n v="40"/>
    <n v="7"/>
    <s v="Carrier C"/>
    <n v="7.291701389"/>
    <s v="Supplier 2"/>
    <x v="0"/>
    <n v="13"/>
    <n v="751"/>
    <n v="14"/>
    <n v="21.048642730000001"/>
    <s v="Pass"/>
    <n v="1.8740014039999999"/>
    <s v="Sea"/>
    <s v="Route C"/>
    <n v="320.84651580000002"/>
  </r>
  <r>
    <s v="skincare"/>
    <s v="SKU63"/>
    <n v="13.01737679"/>
    <n v="55"/>
    <n v="246"/>
    <n v="4256.9491410000001"/>
    <x v="0"/>
    <n v="54"/>
    <n v="19"/>
    <n v="10"/>
    <n v="4"/>
    <s v="Carrier A"/>
    <n v="2.4579335279999999"/>
    <s v="Supplier 3"/>
    <x v="3"/>
    <n v="18"/>
    <n v="736"/>
    <n v="10"/>
    <n v="20.075003980000002"/>
    <s v="Pending"/>
    <n v="3.6328432899999998"/>
    <s v="Sea"/>
    <s v="Route A"/>
    <n v="687.28617789999998"/>
  </r>
  <r>
    <s v="skincare"/>
    <s v="SKU64"/>
    <n v="89.634095610000003"/>
    <n v="11"/>
    <n v="134"/>
    <n v="8458.7308780000003"/>
    <x v="1"/>
    <n v="73"/>
    <n v="27"/>
    <n v="75"/>
    <n v="6"/>
    <s v="Carrier C"/>
    <n v="4.5853534680000001"/>
    <s v="Supplier 1"/>
    <x v="2"/>
    <n v="17"/>
    <n v="328"/>
    <n v="6"/>
    <n v="8.6930424259999999"/>
    <s v="Fail"/>
    <n v="0.15948631499999999"/>
    <s v="Air"/>
    <s v="Route C"/>
    <n v="771.22508470000002"/>
  </r>
  <r>
    <s v="skincare"/>
    <s v="SKU65"/>
    <n v="33.69771721"/>
    <n v="72"/>
    <n v="457"/>
    <n v="8354.5796859999991"/>
    <x v="3"/>
    <n v="57"/>
    <n v="24"/>
    <n v="54"/>
    <n v="8"/>
    <s v="Carrier C"/>
    <n v="6.5805413479999997"/>
    <s v="Supplier 5"/>
    <x v="1"/>
    <n v="16"/>
    <n v="358"/>
    <n v="21"/>
    <n v="1.5972227429999999"/>
    <s v="Fail"/>
    <n v="4.9110959550000004"/>
    <s v="Rail"/>
    <s v="Route C"/>
    <n v="555.85910369999999"/>
  </r>
  <r>
    <s v="skincare"/>
    <s v="SKU66"/>
    <n v="26.03486977"/>
    <n v="52"/>
    <n v="704"/>
    <n v="8367.7216179999996"/>
    <x v="1"/>
    <n v="13"/>
    <n v="17"/>
    <n v="19"/>
    <n v="8"/>
    <s v="Carrier A"/>
    <n v="2.216142729"/>
    <s v="Supplier 5"/>
    <x v="1"/>
    <n v="24"/>
    <n v="867"/>
    <n v="28"/>
    <n v="42.084436740000001"/>
    <s v="Fail"/>
    <n v="3.4480632880000002"/>
    <s v="Road"/>
    <s v="Route A"/>
    <n v="393.84334860000001"/>
  </r>
  <r>
    <s v="skincare"/>
    <s v="SKU67"/>
    <n v="87.755432350000007"/>
    <n v="16"/>
    <n v="513"/>
    <n v="9473.7980329999991"/>
    <x v="2"/>
    <n v="12"/>
    <n v="9"/>
    <n v="71"/>
    <n v="9"/>
    <s v="Carrier C"/>
    <n v="9.1478115449999997"/>
    <s v="Supplier 1"/>
    <x v="0"/>
    <n v="10"/>
    <n v="198"/>
    <n v="11"/>
    <n v="7.057876147"/>
    <s v="Pass"/>
    <n v="0.13195544400000001"/>
    <s v="Sea"/>
    <s v="Route C"/>
    <n v="169.27180139999999"/>
  </r>
  <r>
    <s v="haircare"/>
    <s v="SKU68"/>
    <n v="37.931812379999997"/>
    <n v="29"/>
    <n v="163"/>
    <n v="3550.218433"/>
    <x v="0"/>
    <n v="0"/>
    <n v="8"/>
    <n v="58"/>
    <n v="8"/>
    <s v="Carrier B"/>
    <n v="1.194251865"/>
    <s v="Supplier 2"/>
    <x v="3"/>
    <n v="2"/>
    <n v="375"/>
    <n v="18"/>
    <n v="97.11358156"/>
    <s v="Fail"/>
    <n v="1.9834678720000001"/>
    <s v="Rail"/>
    <s v="Route A"/>
    <n v="299.70630310000001"/>
  </r>
  <r>
    <s v="skincare"/>
    <s v="SKU69"/>
    <n v="54.865528519999998"/>
    <n v="62"/>
    <n v="511"/>
    <n v="1752.381087"/>
    <x v="0"/>
    <n v="95"/>
    <n v="1"/>
    <n v="27"/>
    <n v="3"/>
    <s v="Carrier B"/>
    <n v="9.7052867900000006"/>
    <s v="Supplier 4"/>
    <x v="1"/>
    <n v="9"/>
    <n v="862"/>
    <n v="7"/>
    <n v="77.62776581"/>
    <s v="Pending"/>
    <n v="1.3623879889999999"/>
    <s v="Air"/>
    <s v="Route A"/>
    <n v="207.66320619999999"/>
  </r>
  <r>
    <s v="haircare"/>
    <s v="SKU70"/>
    <n v="47.914541819999997"/>
    <n v="90"/>
    <n v="32"/>
    <n v="7014.8879870000001"/>
    <x v="1"/>
    <n v="10"/>
    <n v="12"/>
    <n v="22"/>
    <n v="4"/>
    <s v="Carrier B"/>
    <n v="6.3157177549999997"/>
    <s v="Supplier 1"/>
    <x v="3"/>
    <n v="22"/>
    <n v="775"/>
    <n v="16"/>
    <n v="11.44078182"/>
    <s v="Pass"/>
    <n v="1.8305755990000001"/>
    <s v="Road"/>
    <s v="Route C"/>
    <n v="183.27289870000001"/>
  </r>
  <r>
    <s v="cosmetics"/>
    <s v="SKU71"/>
    <n v="6.3815331630000003"/>
    <n v="14"/>
    <n v="637"/>
    <n v="8180.3370850000001"/>
    <x v="1"/>
    <n v="76"/>
    <n v="2"/>
    <n v="26"/>
    <n v="6"/>
    <s v="Carrier A"/>
    <n v="9.2281903169999993"/>
    <s v="Supplier 2"/>
    <x v="3"/>
    <n v="2"/>
    <n v="258"/>
    <n v="10"/>
    <n v="30.661677480000002"/>
    <s v="Pending"/>
    <n v="2.078750608"/>
    <s v="Road"/>
    <s v="Route A"/>
    <n v="405.16706790000001"/>
  </r>
  <r>
    <s v="cosmetics"/>
    <s v="SKU72"/>
    <n v="90.204427519999996"/>
    <n v="88"/>
    <n v="478"/>
    <n v="2633.1219809999998"/>
    <x v="0"/>
    <n v="57"/>
    <n v="29"/>
    <n v="77"/>
    <n v="9"/>
    <s v="Carrier A"/>
    <n v="6.5996141599999998"/>
    <s v="Supplier 1"/>
    <x v="3"/>
    <n v="21"/>
    <n v="152"/>
    <n v="11"/>
    <n v="55.760492900000003"/>
    <s v="Pending"/>
    <n v="3.2133296069999999"/>
    <s v="Rail"/>
    <s v="Route B"/>
    <n v="677.94456979999995"/>
  </r>
  <r>
    <s v="cosmetics"/>
    <s v="SKU73"/>
    <n v="83.851017679999998"/>
    <n v="41"/>
    <n v="375"/>
    <n v="7910.8869160000004"/>
    <x v="3"/>
    <n v="17"/>
    <n v="25"/>
    <n v="66"/>
    <n v="5"/>
    <s v="Carrier B"/>
    <n v="1.512936837"/>
    <s v="Supplier 4"/>
    <x v="4"/>
    <n v="13"/>
    <n v="444"/>
    <n v="4"/>
    <n v="46.870238800000003"/>
    <s v="Fail"/>
    <n v="4.6205460650000001"/>
    <s v="Road"/>
    <s v="Route A"/>
    <n v="866.47280009999997"/>
  </r>
  <r>
    <s v="haircare"/>
    <s v="SKU74"/>
    <n v="3.1700114140000002"/>
    <n v="64"/>
    <n v="904"/>
    <n v="5709.9452959999999"/>
    <x v="1"/>
    <n v="41"/>
    <n v="6"/>
    <n v="1"/>
    <n v="5"/>
    <s v="Carrier A"/>
    <n v="5.2376546499999996"/>
    <s v="Supplier 4"/>
    <x v="2"/>
    <n v="1"/>
    <n v="919"/>
    <n v="9"/>
    <n v="80.580852160000006"/>
    <s v="Fail"/>
    <n v="0.39661272400000003"/>
    <s v="Rail"/>
    <s v="Route A"/>
    <n v="341.55265680000002"/>
  </r>
  <r>
    <s v="skincare"/>
    <s v="SKU75"/>
    <n v="92.996884230000006"/>
    <n v="29"/>
    <n v="106"/>
    <n v="1889.07359"/>
    <x v="0"/>
    <n v="16"/>
    <n v="20"/>
    <n v="56"/>
    <n v="10"/>
    <s v="Carrier C"/>
    <n v="2.4738977609999999"/>
    <s v="Supplier 1"/>
    <x v="4"/>
    <n v="25"/>
    <n v="759"/>
    <n v="11"/>
    <n v="48.064782639999997"/>
    <s v="Pass"/>
    <n v="2.0300690889999999"/>
    <s v="Air"/>
    <s v="Route C"/>
    <n v="873.12964799999997"/>
  </r>
  <r>
    <s v="haircare"/>
    <s v="SKU76"/>
    <n v="69.108799550000001"/>
    <n v="23"/>
    <n v="241"/>
    <n v="5328.3759840000002"/>
    <x v="3"/>
    <n v="38"/>
    <n v="1"/>
    <n v="22"/>
    <n v="10"/>
    <s v="Carrier A"/>
    <n v="7.0545383370000003"/>
    <s v="Supplier 2"/>
    <x v="3"/>
    <n v="25"/>
    <n v="985"/>
    <n v="24"/>
    <n v="64.323597800000002"/>
    <s v="Pending"/>
    <n v="2.1800374520000001"/>
    <s v="Rail"/>
    <s v="Route A"/>
    <n v="997.41345009999998"/>
  </r>
  <r>
    <s v="haircare"/>
    <s v="SKU77"/>
    <n v="57.449742960000002"/>
    <n v="14"/>
    <n v="359"/>
    <n v="2483.760178"/>
    <x v="2"/>
    <n v="96"/>
    <n v="28"/>
    <n v="57"/>
    <n v="4"/>
    <s v="Carrier B"/>
    <n v="6.7809466260000004"/>
    <s v="Supplier 1"/>
    <x v="1"/>
    <n v="26"/>
    <n v="334"/>
    <n v="5"/>
    <n v="42.952444749999998"/>
    <s v="Pass"/>
    <n v="3.0551418180000001"/>
    <s v="Road"/>
    <s v="Route B"/>
    <n v="852.5680989"/>
  </r>
  <r>
    <s v="haircare"/>
    <s v="SKU78"/>
    <n v="6.3068831760000004"/>
    <n v="50"/>
    <n v="946"/>
    <n v="1292.4584179999999"/>
    <x v="2"/>
    <n v="5"/>
    <n v="4"/>
    <n v="51"/>
    <n v="5"/>
    <s v="Carrier B"/>
    <n v="8.4670497709999992"/>
    <s v="Supplier 5"/>
    <x v="0"/>
    <n v="25"/>
    <n v="858"/>
    <n v="21"/>
    <n v="71.126514720000003"/>
    <s v="Pending"/>
    <n v="4.0968813319999997"/>
    <s v="Sea"/>
    <s v="Route C"/>
    <n v="323.59220340000002"/>
  </r>
  <r>
    <s v="haircare"/>
    <s v="SKU79"/>
    <n v="57.057031219999999"/>
    <n v="56"/>
    <n v="198"/>
    <n v="7888.7232679999997"/>
    <x v="0"/>
    <n v="31"/>
    <n v="25"/>
    <n v="20"/>
    <n v="1"/>
    <s v="Carrier B"/>
    <n v="6.4963253639999996"/>
    <s v="Supplier 3"/>
    <x v="3"/>
    <n v="5"/>
    <n v="228"/>
    <n v="12"/>
    <n v="57.870902919999999"/>
    <s v="Pending"/>
    <n v="0.16587162699999999"/>
    <s v="Air"/>
    <s v="Route C"/>
    <n v="351.50421929999999"/>
  </r>
  <r>
    <s v="skincare"/>
    <s v="SKU80"/>
    <n v="91.128318350000001"/>
    <n v="75"/>
    <n v="872"/>
    <n v="8651.6726830000007"/>
    <x v="2"/>
    <n v="39"/>
    <n v="14"/>
    <n v="41"/>
    <n v="2"/>
    <s v="Carrier C"/>
    <n v="2.8331846789999999"/>
    <s v="Supplier 3"/>
    <x v="4"/>
    <n v="8"/>
    <n v="202"/>
    <n v="5"/>
    <n v="76.961228019999993"/>
    <s v="Fail"/>
    <n v="2.849662199"/>
    <s v="Sea"/>
    <s v="Route B"/>
    <n v="787.77985049999995"/>
  </r>
  <r>
    <s v="haircare"/>
    <s v="SKU81"/>
    <n v="72.819206930000007"/>
    <n v="9"/>
    <n v="774"/>
    <n v="4384.4134000000004"/>
    <x v="2"/>
    <n v="48"/>
    <n v="6"/>
    <n v="8"/>
    <n v="5"/>
    <s v="Carrier B"/>
    <n v="4.0662775020000002"/>
    <s v="Supplier 3"/>
    <x v="2"/>
    <n v="28"/>
    <n v="698"/>
    <n v="1"/>
    <n v="19.789592939999999"/>
    <s v="Pending"/>
    <n v="2.5475471220000001"/>
    <s v="Rail"/>
    <s v="Route B"/>
    <n v="276.7783359"/>
  </r>
  <r>
    <s v="skincare"/>
    <s v="SKU82"/>
    <n v="17.03493074"/>
    <n v="13"/>
    <n v="336"/>
    <n v="2943.3818679999999"/>
    <x v="2"/>
    <n v="42"/>
    <n v="19"/>
    <n v="72"/>
    <n v="1"/>
    <s v="Carrier A"/>
    <n v="4.7081818740000001"/>
    <s v="Supplier 2"/>
    <x v="0"/>
    <n v="6"/>
    <n v="955"/>
    <n v="26"/>
    <n v="4.4652784350000001"/>
    <s v="Pending"/>
    <n v="4.1378770490000001"/>
    <s v="Road"/>
    <s v="Route C"/>
    <n v="589.97855560000005"/>
  </r>
  <r>
    <s v="haircare"/>
    <s v="SKU83"/>
    <n v="68.911246210000002"/>
    <n v="82"/>
    <n v="663"/>
    <n v="2411.7546320000001"/>
    <x v="2"/>
    <n v="65"/>
    <n v="24"/>
    <n v="7"/>
    <n v="8"/>
    <s v="Carrier B"/>
    <n v="4.9498395779999997"/>
    <s v="Supplier 1"/>
    <x v="3"/>
    <n v="20"/>
    <n v="443"/>
    <n v="5"/>
    <n v="97.730593799999994"/>
    <s v="Fail"/>
    <n v="0.77300613399999996"/>
    <s v="Road"/>
    <s v="Route A"/>
    <n v="682.9710182"/>
  </r>
  <r>
    <s v="haircare"/>
    <s v="SKU84"/>
    <n v="89.104367289999999"/>
    <n v="99"/>
    <n v="618"/>
    <n v="2048.2901000000002"/>
    <x v="2"/>
    <n v="73"/>
    <n v="26"/>
    <n v="80"/>
    <n v="10"/>
    <s v="Carrier A"/>
    <n v="8.3816156250000002"/>
    <s v="Supplier 5"/>
    <x v="4"/>
    <n v="24"/>
    <n v="589"/>
    <n v="22"/>
    <n v="33.808636509999999"/>
    <s v="Pass"/>
    <n v="4.8434565770000004"/>
    <s v="Air"/>
    <s v="Route B"/>
    <n v="465.45700599999998"/>
  </r>
  <r>
    <s v="cosmetics"/>
    <s v="SKU85"/>
    <n v="76.962994420000001"/>
    <n v="83"/>
    <n v="25"/>
    <n v="8684.6130589999993"/>
    <x v="1"/>
    <n v="15"/>
    <n v="18"/>
    <n v="66"/>
    <n v="2"/>
    <s v="Carrier C"/>
    <n v="8.2491687050000007"/>
    <s v="Supplier 5"/>
    <x v="4"/>
    <n v="4"/>
    <n v="211"/>
    <n v="2"/>
    <n v="69.929345519999998"/>
    <s v="Fail"/>
    <n v="1.3744289999999999"/>
    <s v="Road"/>
    <s v="Route B"/>
    <n v="842.68682999999999"/>
  </r>
  <r>
    <s v="skincare"/>
    <s v="SKU86"/>
    <n v="19.99817694"/>
    <n v="18"/>
    <n v="223"/>
    <n v="1229.5910289999999"/>
    <x v="2"/>
    <n v="32"/>
    <n v="14"/>
    <n v="22"/>
    <n v="6"/>
    <s v="Carrier B"/>
    <n v="1.4543053100000001"/>
    <s v="Supplier 1"/>
    <x v="0"/>
    <n v="4"/>
    <n v="569"/>
    <n v="18"/>
    <n v="74.608969999999999"/>
    <s v="Pass"/>
    <n v="2.051512931"/>
    <s v="Rail"/>
    <s v="Route A"/>
    <n v="264.2548898"/>
  </r>
  <r>
    <s v="haircare"/>
    <s v="SKU87"/>
    <n v="80.41403665"/>
    <n v="24"/>
    <n v="79"/>
    <n v="5133.8467010000004"/>
    <x v="3"/>
    <n v="5"/>
    <n v="7"/>
    <n v="55"/>
    <n v="10"/>
    <s v="Carrier A"/>
    <n v="6.5758037979999999"/>
    <s v="Supplier 3"/>
    <x v="4"/>
    <n v="27"/>
    <n v="523"/>
    <n v="17"/>
    <n v="28.696996819999999"/>
    <s v="Fail"/>
    <n v="3.693737788"/>
    <s v="Sea"/>
    <s v="Route B"/>
    <n v="879.35921770000004"/>
  </r>
  <r>
    <s v="cosmetics"/>
    <s v="SKU88"/>
    <n v="75.270406980000004"/>
    <n v="58"/>
    <n v="737"/>
    <n v="9444.7420330000004"/>
    <x v="3"/>
    <n v="60"/>
    <n v="18"/>
    <n v="85"/>
    <n v="7"/>
    <s v="Carrier A"/>
    <n v="3.8012531329999999"/>
    <s v="Supplier 2"/>
    <x v="0"/>
    <n v="21"/>
    <n v="953"/>
    <n v="11"/>
    <n v="68.184919059999999"/>
    <s v="Pending"/>
    <n v="0.72220440200000002"/>
    <s v="Sea"/>
    <s v="Route A"/>
    <n v="103.916248"/>
  </r>
  <r>
    <s v="cosmetics"/>
    <s v="SKU89"/>
    <n v="97.760085579999995"/>
    <n v="10"/>
    <n v="134"/>
    <n v="5924.6825669999998"/>
    <x v="2"/>
    <n v="90"/>
    <n v="1"/>
    <n v="27"/>
    <n v="8"/>
    <s v="Carrier B"/>
    <n v="9.9298162449999996"/>
    <s v="Supplier 1"/>
    <x v="1"/>
    <n v="23"/>
    <n v="370"/>
    <n v="11"/>
    <n v="46.603873380000003"/>
    <s v="Pending"/>
    <n v="1.9076657340000001"/>
    <s v="Rail"/>
    <s v="Route B"/>
    <n v="517.49997389999999"/>
  </r>
  <r>
    <s v="skincare"/>
    <s v="SKU90"/>
    <n v="13.8819135"/>
    <n v="56"/>
    <n v="320"/>
    <n v="9592.63357"/>
    <x v="0"/>
    <n v="66"/>
    <n v="18"/>
    <n v="96"/>
    <n v="7"/>
    <s v="Carrier B"/>
    <n v="7.674430708"/>
    <s v="Supplier 3"/>
    <x v="3"/>
    <n v="8"/>
    <n v="585"/>
    <n v="8"/>
    <n v="85.675963339999996"/>
    <s v="Pass"/>
    <n v="1.2193822240000001"/>
    <s v="Rail"/>
    <s v="Route B"/>
    <n v="990.07847249999998"/>
  </r>
  <r>
    <s v="cosmetics"/>
    <s v="SKU91"/>
    <n v="62.11196546"/>
    <n v="90"/>
    <n v="916"/>
    <n v="1935.2067939999999"/>
    <x v="3"/>
    <n v="98"/>
    <n v="22"/>
    <n v="85"/>
    <n v="7"/>
    <s v="Carrier B"/>
    <n v="7.4715140839999998"/>
    <s v="Supplier 4"/>
    <x v="2"/>
    <n v="5"/>
    <n v="207"/>
    <n v="28"/>
    <n v="39.772882500000001"/>
    <s v="Pending"/>
    <n v="0.62600185799999997"/>
    <s v="Rail"/>
    <s v="Route B"/>
    <n v="996.77831500000002"/>
  </r>
  <r>
    <s v="cosmetics"/>
    <s v="SKU92"/>
    <n v="47.71423308"/>
    <n v="44"/>
    <n v="276"/>
    <n v="2100.1297549999999"/>
    <x v="3"/>
    <n v="90"/>
    <n v="25"/>
    <n v="10"/>
    <n v="8"/>
    <s v="Carrier B"/>
    <n v="4.4695000260000004"/>
    <s v="Supplier 2"/>
    <x v="0"/>
    <n v="4"/>
    <n v="671"/>
    <n v="29"/>
    <n v="62.612690399999998"/>
    <s v="Pass"/>
    <n v="0.33343182500000002"/>
    <s v="Rail"/>
    <s v="Route B"/>
    <n v="230.0927825"/>
  </r>
  <r>
    <s v="haircare"/>
    <s v="SKU93"/>
    <n v="69.290830999999997"/>
    <n v="88"/>
    <n v="114"/>
    <n v="4531.4021339999999"/>
    <x v="2"/>
    <n v="63"/>
    <n v="17"/>
    <n v="66"/>
    <n v="1"/>
    <s v="Carrier C"/>
    <n v="7.0064320589999998"/>
    <s v="Supplier 4"/>
    <x v="4"/>
    <n v="21"/>
    <n v="824"/>
    <n v="20"/>
    <n v="35.633652339999998"/>
    <s v="Fail"/>
    <n v="4.165781795"/>
    <s v="Air"/>
    <s v="Route A"/>
    <n v="823.52384589999997"/>
  </r>
  <r>
    <s v="cosmetics"/>
    <s v="SKU94"/>
    <n v="3.0376887250000002"/>
    <n v="97"/>
    <n v="987"/>
    <n v="7888.3565470000003"/>
    <x v="2"/>
    <n v="77"/>
    <n v="26"/>
    <n v="72"/>
    <n v="9"/>
    <s v="Carrier B"/>
    <n v="6.9429459419999997"/>
    <s v="Supplier 2"/>
    <x v="2"/>
    <n v="12"/>
    <n v="908"/>
    <n v="14"/>
    <n v="60.387378609999999"/>
    <s v="Pass"/>
    <n v="1.463607498"/>
    <s v="Rail"/>
    <s v="Route B"/>
    <n v="846.665257"/>
  </r>
  <r>
    <s v="haircare"/>
    <s v="SKU95"/>
    <n v="77.90392722"/>
    <n v="65"/>
    <n v="672"/>
    <n v="7386.3639439999997"/>
    <x v="2"/>
    <n v="15"/>
    <n v="14"/>
    <n v="26"/>
    <n v="9"/>
    <s v="Carrier B"/>
    <n v="8.6303388699999992"/>
    <s v="Supplier 4"/>
    <x v="0"/>
    <n v="18"/>
    <n v="450"/>
    <n v="26"/>
    <n v="58.890685769999997"/>
    <s v="Pending"/>
    <n v="1.2108821299999999"/>
    <s v="Air"/>
    <s v="Route A"/>
    <n v="778.86424139999997"/>
  </r>
  <r>
    <s v="cosmetics"/>
    <s v="SKU96"/>
    <n v="24.423131420000001"/>
    <n v="29"/>
    <n v="324"/>
    <n v="7698.4247660000001"/>
    <x v="0"/>
    <n v="67"/>
    <n v="2"/>
    <n v="32"/>
    <n v="3"/>
    <s v="Carrier C"/>
    <n v="5.3528780439999997"/>
    <s v="Supplier 3"/>
    <x v="0"/>
    <n v="28"/>
    <n v="648"/>
    <n v="28"/>
    <n v="17.803756329999999"/>
    <s v="Pending"/>
    <n v="3.8720476810000002"/>
    <s v="Road"/>
    <s v="Route A"/>
    <n v="188.7421411"/>
  </r>
  <r>
    <s v="haircare"/>
    <s v="SKU97"/>
    <n v="3.5261112589999999"/>
    <n v="56"/>
    <n v="62"/>
    <n v="4370.9165800000001"/>
    <x v="3"/>
    <n v="46"/>
    <n v="19"/>
    <n v="4"/>
    <n v="9"/>
    <s v="Carrier A"/>
    <n v="7.9048456109999998"/>
    <s v="Supplier 4"/>
    <x v="0"/>
    <n v="10"/>
    <n v="535"/>
    <n v="13"/>
    <n v="65.765155930000006"/>
    <s v="Fail"/>
    <n v="3.376237835"/>
    <s v="Road"/>
    <s v="Route A"/>
    <n v="540.13242290000005"/>
  </r>
  <r>
    <s v="skincare"/>
    <s v="SKU98"/>
    <n v="19.754604870000001"/>
    <n v="43"/>
    <n v="913"/>
    <n v="8525.9525599999997"/>
    <x v="1"/>
    <n v="53"/>
    <n v="1"/>
    <n v="27"/>
    <n v="7"/>
    <s v="Carrier B"/>
    <n v="1.4098010949999999"/>
    <s v="Supplier 5"/>
    <x v="4"/>
    <n v="28"/>
    <n v="581"/>
    <n v="9"/>
    <n v="5.6046908640000002"/>
    <s v="Pending"/>
    <n v="2.9081221689999999"/>
    <s v="Rail"/>
    <s v="Route A"/>
    <n v="882.19886350000002"/>
  </r>
  <r>
    <s v="haircare"/>
    <s v="SKU99"/>
    <n v="68.5178327"/>
    <n v="17"/>
    <n v="627"/>
    <n v="9185.185829"/>
    <x v="2"/>
    <n v="55"/>
    <n v="8"/>
    <n v="59"/>
    <n v="6"/>
    <s v="Carrier B"/>
    <n v="1.311023756"/>
    <s v="Supplier 2"/>
    <x v="4"/>
    <n v="29"/>
    <n v="921"/>
    <n v="2"/>
    <n v="38.072898520000003"/>
    <s v="Fail"/>
    <n v="0.34602729100000001"/>
    <s v="Rail"/>
    <s v="Route B"/>
    <n v="210.743009"/>
  </r>
  <r>
    <s v="haircare"/>
    <s v="SKU0"/>
    <n v="69.808005539999996"/>
    <n v="55"/>
    <n v="802"/>
    <n v="8661.9967919999999"/>
    <x v="0"/>
    <n v="58"/>
    <n v="7"/>
    <n v="96"/>
    <n v="4"/>
    <s v="Carrier B"/>
    <n v="2.9565721389999999"/>
    <s v="Supplier 3"/>
    <x v="0"/>
    <n v="29"/>
    <n v="215"/>
    <n v="29"/>
    <n v="46.27987924"/>
    <s v="Pending"/>
    <n v="0.226410361"/>
    <s v="Road"/>
    <s v="Route B"/>
    <n v="187.75207549999999"/>
  </r>
  <r>
    <s v="skincare"/>
    <s v="SKU1"/>
    <n v="14.843523279999999"/>
    <n v="95"/>
    <n v="736"/>
    <n v="7460.9000649999998"/>
    <x v="1"/>
    <n v="53"/>
    <n v="30"/>
    <n v="37"/>
    <n v="2"/>
    <s v="Carrier A"/>
    <n v="9.7165747709999994"/>
    <s v="Supplier 3"/>
    <x v="0"/>
    <n v="23"/>
    <n v="517"/>
    <n v="30"/>
    <n v="33.616768950000001"/>
    <s v="Pending"/>
    <n v="4.8540680260000002"/>
    <s v="Road"/>
    <s v="Route B"/>
    <n v="503.06557909999998"/>
  </r>
  <r>
    <s v="haircare"/>
    <s v="SKU2"/>
    <n v="11.31968329"/>
    <n v="34"/>
    <n v="8"/>
    <n v="9577.7496260000007"/>
    <x v="2"/>
    <n v="1"/>
    <n v="10"/>
    <n v="88"/>
    <n v="2"/>
    <s v="Carrier B"/>
    <n v="8.0544792619999992"/>
    <s v="Supplier 1"/>
    <x v="0"/>
    <n v="12"/>
    <n v="971"/>
    <n v="27"/>
    <n v="30.688019350000001"/>
    <s v="Pending"/>
    <n v="4.5805926189999999"/>
    <s v="Air"/>
    <s v="Route C"/>
    <n v="141.9202818"/>
  </r>
  <r>
    <s v="skincare"/>
    <s v="SKU3"/>
    <n v="61.163343019999999"/>
    <n v="68"/>
    <n v="83"/>
    <n v="7766.8364259999998"/>
    <x v="0"/>
    <n v="23"/>
    <n v="13"/>
    <n v="59"/>
    <n v="6"/>
    <s v="Carrier C"/>
    <n v="1.729568564"/>
    <s v="Supplier 5"/>
    <x v="1"/>
    <n v="24"/>
    <n v="937"/>
    <n v="18"/>
    <n v="35.624741399999998"/>
    <s v="Fail"/>
    <n v="4.7466486210000003"/>
    <s v="Rail"/>
    <s v="Route A"/>
    <n v="254.7761592"/>
  </r>
  <r>
    <s v="skincare"/>
    <s v="SKU4"/>
    <n v="4.8054960360000001"/>
    <n v="26"/>
    <n v="871"/>
    <n v="2686.5051520000002"/>
    <x v="0"/>
    <n v="5"/>
    <n v="3"/>
    <n v="56"/>
    <n v="8"/>
    <s v="Carrier A"/>
    <n v="3.8905479160000001"/>
    <s v="Supplier 1"/>
    <x v="2"/>
    <n v="5"/>
    <n v="414"/>
    <n v="3"/>
    <n v="92.065160599999999"/>
    <s v="Fail"/>
    <n v="3.1455795229999999"/>
    <s v="Air"/>
    <s v="Route A"/>
    <n v="923.44063170000004"/>
  </r>
  <r>
    <s v="haircare"/>
    <s v="SKU5"/>
    <n v="1.699976014"/>
    <n v="87"/>
    <n v="147"/>
    <n v="2828.3487460000001"/>
    <x v="0"/>
    <n v="90"/>
    <n v="27"/>
    <n v="66"/>
    <n v="3"/>
    <s v="Carrier B"/>
    <n v="4.4440988639999999"/>
    <s v="Supplier 4"/>
    <x v="3"/>
    <n v="10"/>
    <n v="104"/>
    <n v="17"/>
    <n v="56.766475560000003"/>
    <s v="Fail"/>
    <n v="2.779193512"/>
    <s v="Road"/>
    <s v="Route A"/>
    <n v="235.4612367"/>
  </r>
  <r>
    <s v="skincare"/>
    <s v="SKU6"/>
    <n v="4.078332863"/>
    <n v="48"/>
    <n v="65"/>
    <n v="7823.4765600000001"/>
    <x v="3"/>
    <n v="11"/>
    <n v="15"/>
    <n v="58"/>
    <n v="8"/>
    <s v="Carrier C"/>
    <n v="3.8807633030000002"/>
    <s v="Supplier 3"/>
    <x v="1"/>
    <n v="14"/>
    <n v="314"/>
    <n v="24"/>
    <n v="1.08506857"/>
    <s v="Pending"/>
    <n v="1.0009106189999999"/>
    <s v="Sea"/>
    <s v="Route A"/>
    <n v="134.36909689999999"/>
  </r>
  <r>
    <s v="cosmetics"/>
    <s v="SKU7"/>
    <n v="42.958384379999998"/>
    <n v="59"/>
    <n v="426"/>
    <n v="8496.1038129999997"/>
    <x v="1"/>
    <n v="93"/>
    <n v="17"/>
    <n v="11"/>
    <n v="1"/>
    <s v="Carrier B"/>
    <n v="2.3483387840000001"/>
    <s v="Supplier 4"/>
    <x v="3"/>
    <n v="22"/>
    <n v="564"/>
    <n v="1"/>
    <n v="99.466108599999998"/>
    <s v="Fail"/>
    <n v="0.39817718699999999"/>
    <s v="Road"/>
    <s v="Route C"/>
    <n v="802.0563118"/>
  </r>
  <r>
    <s v="cosmetics"/>
    <s v="SKU8"/>
    <n v="68.717596749999998"/>
    <n v="78"/>
    <n v="150"/>
    <n v="7517.3632109999999"/>
    <x v="1"/>
    <n v="5"/>
    <n v="10"/>
    <n v="15"/>
    <n v="7"/>
    <s v="Carrier C"/>
    <n v="3.4047338570000001"/>
    <s v="Supplier 4"/>
    <x v="0"/>
    <n v="13"/>
    <n v="769"/>
    <n v="8"/>
    <n v="11.42302714"/>
    <s v="Pending"/>
    <n v="2.7098626910000001"/>
    <s v="Sea"/>
    <s v="Route B"/>
    <n v="505.55713420000001"/>
  </r>
  <r>
    <s v="skincare"/>
    <s v="SKU9"/>
    <n v="64.015732940000007"/>
    <n v="35"/>
    <n v="980"/>
    <n v="4971.1459880000002"/>
    <x v="2"/>
    <n v="14"/>
    <n v="27"/>
    <n v="83"/>
    <n v="1"/>
    <s v="Carrier A"/>
    <n v="7.166645291"/>
    <s v="Supplier 2"/>
    <x v="4"/>
    <n v="29"/>
    <n v="963"/>
    <n v="23"/>
    <n v="47.957601629999999"/>
    <s v="Pending"/>
    <n v="3.8446144790000001"/>
    <s v="Rail"/>
    <s v="Route B"/>
    <n v="995.9294615"/>
  </r>
  <r>
    <s v="skincare"/>
    <s v="SKU10"/>
    <n v="15.70779568"/>
    <n v="11"/>
    <n v="996"/>
    <n v="2330.9658020000002"/>
    <x v="0"/>
    <n v="51"/>
    <n v="13"/>
    <n v="80"/>
    <n v="2"/>
    <s v="Carrier C"/>
    <n v="8.6732112109999999"/>
    <s v="Supplier 5"/>
    <x v="1"/>
    <n v="18"/>
    <n v="830"/>
    <n v="5"/>
    <n v="96.527352789999995"/>
    <s v="Pass"/>
    <n v="1.7273139280000001"/>
    <s v="Road"/>
    <s v="Route B"/>
    <n v="806.10317769999995"/>
  </r>
  <r>
    <s v="skincare"/>
    <s v="SKU11"/>
    <n v="90.635459979999993"/>
    <n v="95"/>
    <n v="960"/>
    <n v="6099.9441159999997"/>
    <x v="1"/>
    <n v="46"/>
    <n v="23"/>
    <n v="60"/>
    <n v="1"/>
    <s v="Carrier A"/>
    <n v="4.5239431239999996"/>
    <s v="Supplier 2"/>
    <x v="1"/>
    <n v="28"/>
    <n v="362"/>
    <n v="11"/>
    <n v="27.592363089999999"/>
    <s v="Pending"/>
    <n v="2.1169820999999998E-2"/>
    <s v="Air"/>
    <s v="Route A"/>
    <n v="126.72303340000001"/>
  </r>
  <r>
    <s v="haircare"/>
    <s v="SKU12"/>
    <n v="71.213389079999999"/>
    <n v="41"/>
    <n v="336"/>
    <n v="2873.741446"/>
    <x v="2"/>
    <n v="100"/>
    <n v="30"/>
    <n v="85"/>
    <n v="4"/>
    <s v="Carrier A"/>
    <n v="1.32527401"/>
    <s v="Supplier 4"/>
    <x v="1"/>
    <n v="3"/>
    <n v="563"/>
    <n v="3"/>
    <n v="32.321286209999997"/>
    <s v="Fail"/>
    <n v="2.161253748"/>
    <s v="Road"/>
    <s v="Route B"/>
    <n v="402.96878909999998"/>
  </r>
  <r>
    <s v="skincare"/>
    <s v="SKU13"/>
    <n v="16.160393320000001"/>
    <n v="5"/>
    <n v="249"/>
    <n v="4052.7384160000001"/>
    <x v="3"/>
    <n v="80"/>
    <n v="8"/>
    <n v="48"/>
    <n v="9"/>
    <s v="Carrier A"/>
    <n v="9.5372830610000001"/>
    <s v="Supplier 5"/>
    <x v="3"/>
    <n v="23"/>
    <n v="173"/>
    <n v="10"/>
    <n v="97.829050109999997"/>
    <s v="Pending"/>
    <n v="1.6310742300000001"/>
    <s v="Road"/>
    <s v="Route B"/>
    <n v="547.24100520000002"/>
  </r>
  <r>
    <s v="skincare"/>
    <s v="SKU14"/>
    <n v="99.171328639999999"/>
    <n v="26"/>
    <n v="562"/>
    <n v="8653.5709260000003"/>
    <x v="0"/>
    <n v="54"/>
    <n v="29"/>
    <n v="78"/>
    <n v="5"/>
    <s v="Carrier B"/>
    <n v="2.039770189"/>
    <s v="Supplier 1"/>
    <x v="1"/>
    <n v="25"/>
    <n v="558"/>
    <n v="14"/>
    <n v="5.7914366299999998"/>
    <s v="Pending"/>
    <n v="0.100682852"/>
    <s v="Air"/>
    <s v="Route B"/>
    <n v="929.23528999999996"/>
  </r>
  <r>
    <s v="skincare"/>
    <s v="SKU15"/>
    <n v="36.989244929999998"/>
    <n v="94"/>
    <n v="469"/>
    <n v="5442.0867850000004"/>
    <x v="0"/>
    <n v="9"/>
    <n v="8"/>
    <n v="69"/>
    <n v="7"/>
    <s v="Carrier B"/>
    <n v="2.4220397230000001"/>
    <s v="Supplier 1"/>
    <x v="3"/>
    <n v="14"/>
    <n v="580"/>
    <n v="7"/>
    <n v="97.121281749999994"/>
    <s v="Pass"/>
    <n v="2.2644057609999999"/>
    <s v="Sea"/>
    <s v="Route B"/>
    <n v="127.8618"/>
  </r>
  <r>
    <s v="skincare"/>
    <s v="SKU16"/>
    <n v="7.54717211"/>
    <n v="74"/>
    <n v="280"/>
    <n v="6453.7979679999999"/>
    <x v="1"/>
    <n v="2"/>
    <n v="5"/>
    <n v="78"/>
    <n v="1"/>
    <s v="Carrier B"/>
    <n v="4.1913245860000004"/>
    <s v="Supplier 1"/>
    <x v="3"/>
    <n v="3"/>
    <n v="399"/>
    <n v="21"/>
    <n v="77.106342499999997"/>
    <s v="Pass"/>
    <n v="1.0125630889999999"/>
    <s v="Air"/>
    <s v="Route A"/>
    <n v="865.52577980000001"/>
  </r>
  <r>
    <s v="cosmetics"/>
    <s v="SKU17"/>
    <n v="81.46253437"/>
    <n v="82"/>
    <n v="126"/>
    <n v="2629.3964350000001"/>
    <x v="1"/>
    <n v="45"/>
    <n v="17"/>
    <n v="85"/>
    <n v="9"/>
    <s v="Carrier C"/>
    <n v="3.585418958"/>
    <s v="Supplier 1"/>
    <x v="4"/>
    <n v="7"/>
    <n v="453"/>
    <n v="16"/>
    <n v="47.67968037"/>
    <s v="Fail"/>
    <n v="0.102020755"/>
    <s v="Air"/>
    <s v="Route C"/>
    <n v="670.93439079999996"/>
  </r>
  <r>
    <s v="haircare"/>
    <s v="SKU18"/>
    <n v="36.443627769999999"/>
    <n v="23"/>
    <n v="620"/>
    <n v="9364.6735050000007"/>
    <x v="2"/>
    <n v="10"/>
    <n v="10"/>
    <n v="46"/>
    <n v="8"/>
    <s v="Carrier C"/>
    <n v="4.3392247140000002"/>
    <s v="Supplier 2"/>
    <x v="1"/>
    <n v="18"/>
    <n v="374"/>
    <n v="17"/>
    <n v="27.107980850000001"/>
    <s v="Pending"/>
    <n v="2.231939111"/>
    <s v="Sea"/>
    <s v="Route A"/>
    <n v="593.48025870000004"/>
  </r>
  <r>
    <s v="skincare"/>
    <s v="SKU19"/>
    <n v="51.123870089999997"/>
    <n v="100"/>
    <n v="187"/>
    <n v="2553.4955850000001"/>
    <x v="2"/>
    <n v="48"/>
    <n v="11"/>
    <n v="94"/>
    <n v="3"/>
    <s v="Carrier A"/>
    <n v="4.7426358830000002"/>
    <s v="Supplier 4"/>
    <x v="4"/>
    <n v="20"/>
    <n v="694"/>
    <n v="16"/>
    <n v="82.373320590000006"/>
    <s v="Fail"/>
    <n v="3.6464508649999998"/>
    <s v="Road"/>
    <s v="Route C"/>
    <n v="477.30763109999998"/>
  </r>
  <r>
    <s v="skincare"/>
    <s v="SKU20"/>
    <n v="96.341072440000005"/>
    <n v="22"/>
    <n v="320"/>
    <n v="8128.0276970000004"/>
    <x v="2"/>
    <n v="27"/>
    <n v="12"/>
    <n v="68"/>
    <n v="6"/>
    <s v="Carrier A"/>
    <n v="8.8783346509999994"/>
    <s v="Supplier 1"/>
    <x v="4"/>
    <n v="29"/>
    <n v="309"/>
    <n v="6"/>
    <n v="65.686259609999993"/>
    <s v="Pass"/>
    <n v="4.2314165739999998"/>
    <s v="Air"/>
    <s v="Route B"/>
    <n v="493.87121530000002"/>
  </r>
  <r>
    <s v="cosmetics"/>
    <s v="SKU21"/>
    <n v="84.893868979999993"/>
    <n v="60"/>
    <n v="601"/>
    <n v="7087.0526959999997"/>
    <x v="2"/>
    <n v="69"/>
    <n v="25"/>
    <n v="7"/>
    <n v="6"/>
    <s v="Carrier B"/>
    <n v="6.0378837689999996"/>
    <s v="Supplier 5"/>
    <x v="4"/>
    <n v="19"/>
    <n v="791"/>
    <n v="4"/>
    <n v="61.735728950000002"/>
    <s v="Pending"/>
    <n v="1.8607568000000001E-2"/>
    <s v="Air"/>
    <s v="Route C"/>
    <n v="523.36091469999997"/>
  </r>
  <r>
    <s v="haircare"/>
    <s v="SKU22"/>
    <n v="27.67978089"/>
    <n v="55"/>
    <n v="884"/>
    <n v="2390.807867"/>
    <x v="2"/>
    <n v="71"/>
    <n v="1"/>
    <n v="63"/>
    <n v="10"/>
    <s v="Carrier A"/>
    <n v="9.567648921"/>
    <s v="Supplier 4"/>
    <x v="1"/>
    <n v="22"/>
    <n v="780"/>
    <n v="28"/>
    <n v="50.120839609999997"/>
    <s v="Fail"/>
    <n v="2.5912754730000001"/>
    <s v="Rail"/>
    <s v="Route C"/>
    <n v="205.5719958"/>
  </r>
  <r>
    <s v="cosmetics"/>
    <s v="SKU23"/>
    <n v="4.3243411859999998"/>
    <n v="30"/>
    <n v="391"/>
    <n v="8858.3675710000007"/>
    <x v="2"/>
    <n v="84"/>
    <n v="5"/>
    <n v="29"/>
    <n v="7"/>
    <s v="Carrier A"/>
    <n v="2.9248576009999998"/>
    <s v="Supplier 5"/>
    <x v="1"/>
    <n v="11"/>
    <n v="568"/>
    <n v="29"/>
    <n v="98.60995724"/>
    <s v="Pending"/>
    <n v="1.3422915630000001"/>
    <s v="Rail"/>
    <s v="Route A"/>
    <n v="196.32944610000001"/>
  </r>
  <r>
    <s v="haircare"/>
    <s v="SKU24"/>
    <n v="4.1563083589999996"/>
    <n v="32"/>
    <n v="209"/>
    <n v="9049.0778609999998"/>
    <x v="3"/>
    <n v="4"/>
    <n v="26"/>
    <n v="2"/>
    <n v="8"/>
    <s v="Carrier C"/>
    <n v="9.7412916890000005"/>
    <s v="Supplier 2"/>
    <x v="3"/>
    <n v="28"/>
    <n v="447"/>
    <n v="3"/>
    <n v="40.382359700000002"/>
    <s v="Pending"/>
    <n v="3.6913102929999999"/>
    <s v="Air"/>
    <s v="Route A"/>
    <n v="758.72477260000005"/>
  </r>
  <r>
    <s v="haircare"/>
    <s v="SKU25"/>
    <n v="39.629343990000002"/>
    <n v="73"/>
    <n v="142"/>
    <n v="2174.7770540000001"/>
    <x v="3"/>
    <n v="82"/>
    <n v="11"/>
    <n v="52"/>
    <n v="3"/>
    <s v="Carrier C"/>
    <n v="2.2310736809999998"/>
    <s v="Supplier 4"/>
    <x v="1"/>
    <n v="19"/>
    <n v="934"/>
    <n v="23"/>
    <n v="78.280383119999996"/>
    <s v="Pending"/>
    <n v="3.7972312170000002"/>
    <s v="Road"/>
    <s v="Route B"/>
    <n v="458.53594570000001"/>
  </r>
  <r>
    <s v="haircare"/>
    <s v="SKU26"/>
    <n v="97.446946620000006"/>
    <n v="9"/>
    <n v="353"/>
    <n v="3716.4933259999998"/>
    <x v="3"/>
    <n v="59"/>
    <n v="16"/>
    <n v="48"/>
    <n v="4"/>
    <s v="Carrier B"/>
    <n v="6.5075486209999998"/>
    <s v="Supplier 2"/>
    <x v="3"/>
    <n v="26"/>
    <n v="171"/>
    <n v="4"/>
    <n v="15.972229759999999"/>
    <s v="Pass"/>
    <n v="2.1193197370000001"/>
    <s v="Rail"/>
    <s v="Route A"/>
    <n v="617.8669165"/>
  </r>
  <r>
    <s v="cosmetics"/>
    <s v="SKU27"/>
    <n v="92.557360810000006"/>
    <n v="42"/>
    <n v="352"/>
    <n v="2686.4572240000002"/>
    <x v="2"/>
    <n v="47"/>
    <n v="9"/>
    <n v="62"/>
    <n v="8"/>
    <s v="Carrier C"/>
    <n v="7.4067509530000004"/>
    <s v="Supplier 5"/>
    <x v="0"/>
    <n v="25"/>
    <n v="291"/>
    <n v="4"/>
    <n v="10.528245070000001"/>
    <s v="Fail"/>
    <n v="2.8646678379999999"/>
    <s v="Sea"/>
    <s v="Route B"/>
    <n v="762.45918219999999"/>
  </r>
  <r>
    <s v="cosmetics"/>
    <s v="SKU28"/>
    <n v="2.3972747060000001"/>
    <n v="12"/>
    <n v="394"/>
    <n v="6117.3246150000004"/>
    <x v="1"/>
    <n v="48"/>
    <n v="15"/>
    <n v="24"/>
    <n v="4"/>
    <s v="Carrier B"/>
    <n v="9.8981405079999991"/>
    <s v="Supplier 1"/>
    <x v="0"/>
    <n v="13"/>
    <n v="171"/>
    <n v="7"/>
    <n v="59.429381810000002"/>
    <s v="Fail"/>
    <n v="0.81575707900000005"/>
    <s v="Air"/>
    <s v="Route A"/>
    <n v="123.4370275"/>
  </r>
  <r>
    <s v="cosmetics"/>
    <s v="SKU29"/>
    <n v="63.44755919"/>
    <n v="3"/>
    <n v="253"/>
    <n v="8318.9031950000008"/>
    <x v="1"/>
    <n v="45"/>
    <n v="5"/>
    <n v="67"/>
    <n v="7"/>
    <s v="Carrier B"/>
    <n v="8.1009731449999993"/>
    <s v="Supplier 1"/>
    <x v="1"/>
    <n v="16"/>
    <n v="329"/>
    <n v="7"/>
    <n v="39.292875590000001"/>
    <s v="Pass"/>
    <n v="3.8780989369999999"/>
    <s v="Road"/>
    <s v="Route B"/>
    <n v="764.93537590000005"/>
  </r>
  <r>
    <s v="haircare"/>
    <s v="SKU30"/>
    <n v="8.0228592110000001"/>
    <n v="10"/>
    <n v="327"/>
    <n v="2766.3423670000002"/>
    <x v="3"/>
    <n v="60"/>
    <n v="26"/>
    <n v="35"/>
    <n v="7"/>
    <s v="Carrier B"/>
    <n v="8.9545283149999992"/>
    <s v="Supplier 4"/>
    <x v="1"/>
    <n v="27"/>
    <n v="806"/>
    <n v="30"/>
    <n v="51.634893400000003"/>
    <s v="Pending"/>
    <n v="0.96539470500000002"/>
    <s v="Road"/>
    <s v="Route C"/>
    <n v="880.08098819999998"/>
  </r>
  <r>
    <s v="skincare"/>
    <s v="SKU31"/>
    <n v="50.847393050000001"/>
    <n v="28"/>
    <n v="168"/>
    <n v="9655.1351030000005"/>
    <x v="3"/>
    <n v="6"/>
    <n v="17"/>
    <n v="44"/>
    <n v="4"/>
    <s v="Carrier B"/>
    <n v="2.6796609650000001"/>
    <s v="Supplier 3"/>
    <x v="4"/>
    <n v="24"/>
    <n v="461"/>
    <n v="8"/>
    <n v="60.251145659999999"/>
    <s v="Pending"/>
    <n v="2.989000007"/>
    <s v="Rail"/>
    <s v="Route C"/>
    <n v="609.37920659999997"/>
  </r>
  <r>
    <s v="skincare"/>
    <s v="SKU32"/>
    <n v="79.209936020000001"/>
    <n v="43"/>
    <n v="781"/>
    <n v="9571.5504870000004"/>
    <x v="2"/>
    <n v="89"/>
    <n v="13"/>
    <n v="64"/>
    <n v="4"/>
    <s v="Carrier C"/>
    <n v="6.5991049009999996"/>
    <s v="Supplier 3"/>
    <x v="1"/>
    <n v="30"/>
    <n v="737"/>
    <n v="7"/>
    <n v="29.692467149999999"/>
    <s v="Pass"/>
    <n v="1.946036119"/>
    <s v="Road"/>
    <s v="Route A"/>
    <n v="761.17390950000004"/>
  </r>
  <r>
    <s v="cosmetics"/>
    <s v="SKU33"/>
    <n v="64.795434999999998"/>
    <n v="63"/>
    <n v="616"/>
    <n v="5149.9983499999998"/>
    <x v="0"/>
    <n v="4"/>
    <n v="17"/>
    <n v="95"/>
    <n v="9"/>
    <s v="Carrier C"/>
    <n v="4.858270503"/>
    <s v="Supplier 5"/>
    <x v="4"/>
    <n v="1"/>
    <n v="251"/>
    <n v="23"/>
    <n v="23.85342751"/>
    <s v="Fail"/>
    <n v="3.5410460119999998"/>
    <s v="Sea"/>
    <s v="Route A"/>
    <n v="371.25529549999999"/>
  </r>
  <r>
    <s v="skincare"/>
    <s v="SKU34"/>
    <n v="37.467592330000002"/>
    <n v="96"/>
    <n v="602"/>
    <n v="9061.7108960000005"/>
    <x v="2"/>
    <n v="1"/>
    <n v="26"/>
    <n v="21"/>
    <n v="7"/>
    <s v="Carrier A"/>
    <n v="1.019487571"/>
    <s v="Supplier 1"/>
    <x v="4"/>
    <n v="4"/>
    <n v="452"/>
    <n v="10"/>
    <n v="10.754272820000001"/>
    <s v="Pass"/>
    <n v="0.64660455900000002"/>
    <s v="Road"/>
    <s v="Route B"/>
    <n v="510.35800039999998"/>
  </r>
  <r>
    <s v="cosmetics"/>
    <s v="SKU35"/>
    <n v="84.957786819999995"/>
    <n v="11"/>
    <n v="449"/>
    <n v="6541.3293450000001"/>
    <x v="1"/>
    <n v="42"/>
    <n v="27"/>
    <n v="85"/>
    <n v="8"/>
    <s v="Carrier C"/>
    <n v="5.2881899900000002"/>
    <s v="Supplier 1"/>
    <x v="2"/>
    <n v="3"/>
    <n v="367"/>
    <n v="2"/>
    <n v="58.004787039999997"/>
    <s v="Pass"/>
    <n v="0.54115409800000003"/>
    <s v="Sea"/>
    <s v="Route C"/>
    <n v="553.42047119999995"/>
  </r>
  <r>
    <s v="skincare"/>
    <s v="SKU36"/>
    <n v="9.8130025790000008"/>
    <n v="34"/>
    <n v="963"/>
    <n v="7573.4024579999996"/>
    <x v="1"/>
    <n v="18"/>
    <n v="23"/>
    <n v="28"/>
    <n v="3"/>
    <s v="Carrier B"/>
    <n v="2.1079512669999998"/>
    <s v="Supplier 2"/>
    <x v="2"/>
    <n v="26"/>
    <n v="671"/>
    <n v="19"/>
    <n v="45.531364240000002"/>
    <s v="Fail"/>
    <n v="3.8055333789999999"/>
    <s v="Air"/>
    <s v="Route C"/>
    <n v="403.80897420000002"/>
  </r>
  <r>
    <s v="skincare"/>
    <s v="SKU37"/>
    <n v="23.39984475"/>
    <n v="5"/>
    <n v="963"/>
    <n v="2438.3399300000001"/>
    <x v="1"/>
    <n v="25"/>
    <n v="8"/>
    <n v="21"/>
    <n v="9"/>
    <s v="Carrier A"/>
    <n v="1.5326552739999999"/>
    <s v="Supplier 3"/>
    <x v="1"/>
    <n v="24"/>
    <n v="867"/>
    <n v="15"/>
    <n v="34.343277469999997"/>
    <s v="Pending"/>
    <n v="2.6102880850000001"/>
    <s v="Sea"/>
    <s v="Route A"/>
    <n v="183.93296799999999"/>
  </r>
  <r>
    <s v="cosmetics"/>
    <s v="SKU38"/>
    <n v="52.075930679999999"/>
    <n v="75"/>
    <n v="705"/>
    <n v="9692.3180400000001"/>
    <x v="0"/>
    <n v="69"/>
    <n v="1"/>
    <n v="88"/>
    <n v="5"/>
    <s v="Carrier B"/>
    <n v="9.2359314369999996"/>
    <s v="Supplier 5"/>
    <x v="0"/>
    <n v="10"/>
    <n v="841"/>
    <n v="12"/>
    <n v="5.9306936459999999"/>
    <s v="Pending"/>
    <n v="0.61332689900000004"/>
    <s v="Air"/>
    <s v="Route B"/>
    <n v="339.67286990000002"/>
  </r>
  <r>
    <s v="skincare"/>
    <s v="SKU39"/>
    <n v="19.12747727"/>
    <n v="26"/>
    <n v="176"/>
    <n v="1912.4656629999999"/>
    <x v="1"/>
    <n v="78"/>
    <n v="29"/>
    <n v="34"/>
    <n v="3"/>
    <s v="Carrier A"/>
    <n v="5.562503779"/>
    <s v="Supplier 2"/>
    <x v="1"/>
    <n v="30"/>
    <n v="791"/>
    <n v="6"/>
    <n v="9.0058074290000008"/>
    <s v="Fail"/>
    <n v="1.451972204"/>
    <s v="Air"/>
    <s v="Route B"/>
    <n v="653.67299460000004"/>
  </r>
  <r>
    <s v="skincare"/>
    <s v="SKU40"/>
    <n v="80.541424169999999"/>
    <n v="97"/>
    <n v="933"/>
    <n v="5724.9593500000001"/>
    <x v="1"/>
    <n v="90"/>
    <n v="20"/>
    <n v="39"/>
    <n v="8"/>
    <s v="Carrier C"/>
    <n v="7.2295951399999998"/>
    <s v="Supplier 1"/>
    <x v="1"/>
    <n v="18"/>
    <n v="793"/>
    <n v="1"/>
    <n v="88.179407100000006"/>
    <s v="Pending"/>
    <n v="4.2132694309999996"/>
    <s v="Road"/>
    <s v="Route A"/>
    <n v="529.80872399999998"/>
  </r>
  <r>
    <s v="skincare"/>
    <s v="SKU41"/>
    <n v="99.113291619999998"/>
    <n v="35"/>
    <n v="556"/>
    <n v="5521.2052590000003"/>
    <x v="1"/>
    <n v="64"/>
    <n v="19"/>
    <n v="38"/>
    <n v="8"/>
    <s v="Carrier B"/>
    <n v="5.7732637440000003"/>
    <s v="Supplier 4"/>
    <x v="4"/>
    <n v="18"/>
    <n v="892"/>
    <n v="7"/>
    <n v="95.332064549999998"/>
    <s v="Fail"/>
    <n v="4.5302262000000003E-2"/>
    <s v="Sea"/>
    <s v="Route A"/>
    <n v="275.5243711"/>
  </r>
  <r>
    <s v="skincare"/>
    <s v="SKU42"/>
    <n v="46.529167610000002"/>
    <n v="98"/>
    <n v="155"/>
    <n v="1839.609426"/>
    <x v="1"/>
    <n v="22"/>
    <n v="27"/>
    <n v="57"/>
    <n v="4"/>
    <s v="Carrier C"/>
    <n v="7.5262483270000002"/>
    <s v="Supplier 5"/>
    <x v="3"/>
    <n v="26"/>
    <n v="179"/>
    <n v="7"/>
    <n v="96.422820639999998"/>
    <s v="Fail"/>
    <n v="4.9392552890000001"/>
    <s v="Road"/>
    <s v="Route A"/>
    <n v="635.65712050000002"/>
  </r>
  <r>
    <s v="haircare"/>
    <s v="SKU43"/>
    <n v="11.743271780000001"/>
    <n v="6"/>
    <n v="598"/>
    <n v="5737.4255990000001"/>
    <x v="2"/>
    <n v="36"/>
    <n v="29"/>
    <n v="85"/>
    <n v="9"/>
    <s v="Carrier B"/>
    <n v="3.6940212680000002"/>
    <s v="Supplier 5"/>
    <x v="0"/>
    <n v="1"/>
    <n v="206"/>
    <n v="23"/>
    <n v="26.277365960000001"/>
    <s v="Pending"/>
    <n v="0.37230476800000001"/>
    <s v="Air"/>
    <s v="Route A"/>
    <n v="716.04411979999998"/>
  </r>
  <r>
    <s v="cosmetics"/>
    <s v="SKU44"/>
    <n v="51.355790910000003"/>
    <n v="34"/>
    <n v="919"/>
    <n v="7152.2860490000003"/>
    <x v="1"/>
    <n v="13"/>
    <n v="19"/>
    <n v="72"/>
    <n v="6"/>
    <s v="Carrier C"/>
    <n v="7.5774496569999998"/>
    <s v="Supplier 2"/>
    <x v="2"/>
    <n v="7"/>
    <n v="834"/>
    <n v="18"/>
    <n v="22.554106619999999"/>
    <s v="Fail"/>
    <n v="2.96262632"/>
    <s v="Rail"/>
    <s v="Route A"/>
    <n v="610.4532696"/>
  </r>
  <r>
    <s v="haircare"/>
    <s v="SKU45"/>
    <n v="33.784138030000001"/>
    <n v="1"/>
    <n v="24"/>
    <n v="5267.9568079999999"/>
    <x v="3"/>
    <n v="93"/>
    <n v="7"/>
    <n v="52"/>
    <n v="6"/>
    <s v="Carrier B"/>
    <n v="5.2151550090000001"/>
    <s v="Supplier 2"/>
    <x v="4"/>
    <n v="25"/>
    <n v="794"/>
    <n v="25"/>
    <n v="66.312544439999996"/>
    <s v="Pass"/>
    <n v="3.2196046119999999"/>
    <s v="Rail"/>
    <s v="Route A"/>
    <n v="495.30569700000001"/>
  </r>
  <r>
    <s v="haircare"/>
    <s v="SKU46"/>
    <n v="27.082207199999999"/>
    <n v="75"/>
    <n v="859"/>
    <n v="2556.7673610000002"/>
    <x v="0"/>
    <n v="92"/>
    <n v="29"/>
    <n v="6"/>
    <n v="8"/>
    <s v="Carrier B"/>
    <n v="4.0709558369999996"/>
    <s v="Supplier 3"/>
    <x v="4"/>
    <n v="18"/>
    <n v="870"/>
    <n v="23"/>
    <n v="77.322353210000003"/>
    <s v="Pending"/>
    <n v="3.6486105929999999"/>
    <s v="Road"/>
    <s v="Route B"/>
    <n v="380.43593709999999"/>
  </r>
  <r>
    <s v="skincare"/>
    <s v="SKU47"/>
    <n v="95.712135880000005"/>
    <n v="93"/>
    <n v="910"/>
    <n v="7089.4742500000002"/>
    <x v="3"/>
    <n v="4"/>
    <n v="15"/>
    <n v="51"/>
    <n v="9"/>
    <s v="Carrier B"/>
    <n v="8.9787507560000002"/>
    <s v="Supplier 1"/>
    <x v="1"/>
    <n v="10"/>
    <n v="964"/>
    <n v="20"/>
    <n v="19.712992910000001"/>
    <s v="Pending"/>
    <n v="0.38057358699999999"/>
    <s v="Rail"/>
    <s v="Route A"/>
    <n v="581.60235509999995"/>
  </r>
  <r>
    <s v="haircare"/>
    <s v="SKU48"/>
    <n v="76.035544430000002"/>
    <n v="28"/>
    <n v="29"/>
    <n v="7397.0710049999998"/>
    <x v="0"/>
    <n v="30"/>
    <n v="16"/>
    <n v="9"/>
    <n v="3"/>
    <s v="Carrier C"/>
    <n v="7.0958331570000004"/>
    <s v="Supplier 2"/>
    <x v="0"/>
    <n v="9"/>
    <n v="109"/>
    <n v="18"/>
    <n v="23.12636358"/>
    <s v="Fail"/>
    <n v="1.698112541"/>
    <s v="Rail"/>
    <s v="Route B"/>
    <n v="768.65191400000003"/>
  </r>
  <r>
    <s v="cosmetics"/>
    <s v="SKU49"/>
    <n v="78.897913209999999"/>
    <n v="19"/>
    <n v="99"/>
    <n v="8001.6132070000003"/>
    <x v="2"/>
    <n v="97"/>
    <n v="24"/>
    <n v="9"/>
    <n v="6"/>
    <s v="Carrier C"/>
    <n v="2.5056210330000002"/>
    <s v="Supplier 5"/>
    <x v="2"/>
    <n v="28"/>
    <n v="177"/>
    <n v="28"/>
    <n v="14.14781544"/>
    <s v="Pass"/>
    <n v="2.8258139849999999"/>
    <s v="Rail"/>
    <s v="Route A"/>
    <n v="336.89016850000002"/>
  </r>
  <r>
    <s v="cosmetics"/>
    <s v="SKU50"/>
    <n v="14.20348426"/>
    <n v="91"/>
    <n v="633"/>
    <n v="5910.8853900000004"/>
    <x v="1"/>
    <n v="31"/>
    <n v="23"/>
    <n v="82"/>
    <n v="10"/>
    <s v="Carrier A"/>
    <n v="6.2478609150000004"/>
    <s v="Supplier 2"/>
    <x v="2"/>
    <n v="20"/>
    <n v="306"/>
    <n v="21"/>
    <n v="45.178757920000002"/>
    <s v="Fail"/>
    <n v="4.7548008050000004"/>
    <s v="Rail"/>
    <s v="Route B"/>
    <n v="496.24865030000001"/>
  </r>
  <r>
    <s v="haircare"/>
    <s v="SKU51"/>
    <n v="26.700760970000001"/>
    <n v="61"/>
    <n v="154"/>
    <n v="9866.4654580000006"/>
    <x v="3"/>
    <n v="100"/>
    <n v="4"/>
    <n v="52"/>
    <n v="1"/>
    <s v="Carrier A"/>
    <n v="4.7830005580000003"/>
    <s v="Supplier 5"/>
    <x v="3"/>
    <n v="18"/>
    <n v="673"/>
    <n v="28"/>
    <n v="14.190328340000001"/>
    <s v="Pending"/>
    <n v="1.772951172"/>
    <s v="Road"/>
    <s v="Route A"/>
    <n v="694.98231759999999"/>
  </r>
  <r>
    <s v="skincare"/>
    <s v="SKU52"/>
    <n v="98.03182966"/>
    <n v="1"/>
    <n v="820"/>
    <n v="9435.7626089999994"/>
    <x v="3"/>
    <n v="64"/>
    <n v="11"/>
    <n v="11"/>
    <n v="1"/>
    <s v="Carrier B"/>
    <n v="8.6310521799999993"/>
    <s v="Supplier 1"/>
    <x v="0"/>
    <n v="10"/>
    <n v="727"/>
    <n v="27"/>
    <n v="9.1668491490000008"/>
    <s v="Pending"/>
    <n v="2.1224716190000001"/>
    <s v="Air"/>
    <s v="Route C"/>
    <n v="602.89849879999997"/>
  </r>
  <r>
    <s v="skincare"/>
    <s v="SKU53"/>
    <n v="30.341470709999999"/>
    <n v="93"/>
    <n v="242"/>
    <n v="8232.3348289999994"/>
    <x v="3"/>
    <n v="96"/>
    <n v="25"/>
    <n v="54"/>
    <n v="3"/>
    <s v="Carrier B"/>
    <n v="1.0134865660000001"/>
    <s v="Supplier 1"/>
    <x v="2"/>
    <n v="1"/>
    <n v="631"/>
    <n v="17"/>
    <n v="83.344058989999994"/>
    <s v="Pending"/>
    <n v="1.4103475759999999"/>
    <s v="Air"/>
    <s v="Route B"/>
    <n v="750.73784069999999"/>
  </r>
  <r>
    <s v="haircare"/>
    <s v="SKU54"/>
    <n v="31.146243160000001"/>
    <n v="11"/>
    <n v="622"/>
    <n v="6088.0214800000003"/>
    <x v="0"/>
    <n v="33"/>
    <n v="22"/>
    <n v="61"/>
    <n v="3"/>
    <s v="Carrier B"/>
    <n v="4.3051034709999998"/>
    <s v="Supplier 1"/>
    <x v="1"/>
    <n v="26"/>
    <n v="497"/>
    <n v="29"/>
    <n v="30.186023380000002"/>
    <s v="Pass"/>
    <n v="2.478771976"/>
    <s v="Road"/>
    <s v="Route B"/>
    <n v="814.06999659999997"/>
  </r>
  <r>
    <s v="haircare"/>
    <s v="SKU55"/>
    <n v="79.855058339999999"/>
    <n v="16"/>
    <n v="701"/>
    <n v="2925.67517"/>
    <x v="3"/>
    <n v="97"/>
    <n v="11"/>
    <n v="11"/>
    <n v="5"/>
    <s v="Carrier A"/>
    <n v="5.0143649549999996"/>
    <s v="Supplier 2"/>
    <x v="2"/>
    <n v="27"/>
    <n v="918"/>
    <n v="5"/>
    <n v="30.32354526"/>
    <s v="Fail"/>
    <n v="4.5489196590000001"/>
    <s v="Sea"/>
    <s v="Route B"/>
    <n v="323.01292799999999"/>
  </r>
  <r>
    <s v="skincare"/>
    <s v="SKU56"/>
    <n v="20.986386039999999"/>
    <n v="90"/>
    <n v="93"/>
    <n v="4767.0204839999997"/>
    <x v="0"/>
    <n v="25"/>
    <n v="23"/>
    <n v="83"/>
    <n v="5"/>
    <s v="Carrier C"/>
    <n v="1.774429714"/>
    <s v="Supplier 1"/>
    <x v="0"/>
    <n v="24"/>
    <n v="826"/>
    <n v="28"/>
    <n v="12.83628457"/>
    <s v="Pass"/>
    <n v="1.173755495"/>
    <s v="Air"/>
    <s v="Route B"/>
    <n v="832.21080870000003"/>
  </r>
  <r>
    <s v="haircare"/>
    <s v="SKU57"/>
    <n v="49.26320535"/>
    <n v="65"/>
    <n v="227"/>
    <n v="1605.8669"/>
    <x v="2"/>
    <n v="5"/>
    <n v="18"/>
    <n v="51"/>
    <n v="1"/>
    <s v="Carrier B"/>
    <n v="9.1605585349999998"/>
    <s v="Supplier 2"/>
    <x v="2"/>
    <n v="21"/>
    <n v="588"/>
    <n v="25"/>
    <n v="67.779622989999993"/>
    <s v="Pending"/>
    <n v="2.5111748299999999"/>
    <s v="Rail"/>
    <s v="Route A"/>
    <n v="482.19123860000002"/>
  </r>
  <r>
    <s v="skincare"/>
    <s v="SKU58"/>
    <n v="59.841561380000002"/>
    <n v="81"/>
    <n v="896"/>
    <n v="2021.1498099999999"/>
    <x v="0"/>
    <n v="10"/>
    <n v="5"/>
    <n v="44"/>
    <n v="7"/>
    <s v="Carrier A"/>
    <n v="4.9384385650000002"/>
    <s v="Supplier 3"/>
    <x v="2"/>
    <n v="18"/>
    <n v="396"/>
    <n v="7"/>
    <n v="65.047415090000001"/>
    <s v="Fail"/>
    <n v="1.7303747199999999"/>
    <s v="Road"/>
    <s v="Route B"/>
    <n v="110.3643352"/>
  </r>
  <r>
    <s v="cosmetics"/>
    <s v="SKU59"/>
    <n v="63.828398350000001"/>
    <n v="30"/>
    <n v="484"/>
    <n v="1061.6185230000001"/>
    <x v="0"/>
    <n v="100"/>
    <n v="16"/>
    <n v="26"/>
    <n v="7"/>
    <s v="Carrier B"/>
    <n v="7.2937225970000004"/>
    <s v="Supplier 1"/>
    <x v="1"/>
    <n v="11"/>
    <n v="176"/>
    <n v="4"/>
    <n v="1.900762244"/>
    <s v="Fail"/>
    <n v="0.447194015"/>
    <s v="Air"/>
    <s v="Route A"/>
    <n v="312.57427360000003"/>
  </r>
  <r>
    <s v="skincare"/>
    <s v="SKU60"/>
    <n v="17.02802792"/>
    <n v="16"/>
    <n v="380"/>
    <n v="8864.0843499999992"/>
    <x v="1"/>
    <n v="41"/>
    <n v="27"/>
    <n v="72"/>
    <n v="8"/>
    <s v="Carrier C"/>
    <n v="4.3813681579999999"/>
    <s v="Supplier 4"/>
    <x v="0"/>
    <n v="29"/>
    <n v="929"/>
    <n v="24"/>
    <n v="87.213057820000003"/>
    <s v="Fail"/>
    <n v="2.8530906169999999"/>
    <s v="Rail"/>
    <s v="Route A"/>
    <n v="430.16909700000002"/>
  </r>
  <r>
    <s v="haircare"/>
    <s v="SKU61"/>
    <n v="52.028749900000001"/>
    <n v="23"/>
    <n v="117"/>
    <n v="6885.5893509999996"/>
    <x v="2"/>
    <n v="32"/>
    <n v="23"/>
    <n v="36"/>
    <n v="7"/>
    <s v="Carrier C"/>
    <n v="9.0303404230000002"/>
    <s v="Supplier 4"/>
    <x v="1"/>
    <n v="14"/>
    <n v="480"/>
    <n v="12"/>
    <n v="78.702393970000003"/>
    <s v="Fail"/>
    <n v="4.3674705380000001"/>
    <s v="Air"/>
    <s v="Route A"/>
    <n v="164.3665282"/>
  </r>
  <r>
    <s v="cosmetics"/>
    <s v="SKU62"/>
    <n v="72.796353960000005"/>
    <n v="89"/>
    <n v="270"/>
    <n v="3899.746834"/>
    <x v="2"/>
    <n v="86"/>
    <n v="2"/>
    <n v="40"/>
    <n v="7"/>
    <s v="Carrier C"/>
    <n v="7.291701389"/>
    <s v="Supplier 2"/>
    <x v="0"/>
    <n v="13"/>
    <n v="751"/>
    <n v="14"/>
    <n v="21.048642730000001"/>
    <s v="Pass"/>
    <n v="1.8740014039999999"/>
    <s v="Sea"/>
    <s v="Route C"/>
    <n v="320.84651580000002"/>
  </r>
  <r>
    <s v="skincare"/>
    <s v="SKU63"/>
    <n v="13.01737679"/>
    <n v="55"/>
    <n v="246"/>
    <n v="4256.9491410000001"/>
    <x v="0"/>
    <n v="54"/>
    <n v="19"/>
    <n v="10"/>
    <n v="4"/>
    <s v="Carrier A"/>
    <n v="2.4579335279999999"/>
    <s v="Supplier 3"/>
    <x v="3"/>
    <n v="18"/>
    <n v="736"/>
    <n v="10"/>
    <n v="20.075003980000002"/>
    <s v="Pending"/>
    <n v="3.6328432899999998"/>
    <s v="Sea"/>
    <s v="Route A"/>
    <n v="687.28617789999998"/>
  </r>
  <r>
    <s v="skincare"/>
    <s v="SKU64"/>
    <n v="89.634095610000003"/>
    <n v="11"/>
    <n v="134"/>
    <n v="8458.7308780000003"/>
    <x v="1"/>
    <n v="73"/>
    <n v="27"/>
    <n v="75"/>
    <n v="6"/>
    <s v="Carrier C"/>
    <n v="4.5853534680000001"/>
    <s v="Supplier 1"/>
    <x v="2"/>
    <n v="17"/>
    <n v="328"/>
    <n v="6"/>
    <n v="8.6930424259999999"/>
    <s v="Fail"/>
    <n v="0.15948631499999999"/>
    <s v="Air"/>
    <s v="Route C"/>
    <n v="771.22508470000002"/>
  </r>
  <r>
    <s v="skincare"/>
    <s v="SKU65"/>
    <n v="33.69771721"/>
    <n v="72"/>
    <n v="457"/>
    <n v="8354.5796859999991"/>
    <x v="3"/>
    <n v="57"/>
    <n v="24"/>
    <n v="54"/>
    <n v="8"/>
    <s v="Carrier C"/>
    <n v="6.5805413479999997"/>
    <s v="Supplier 5"/>
    <x v="1"/>
    <n v="16"/>
    <n v="358"/>
    <n v="21"/>
    <n v="1.5972227429999999"/>
    <s v="Fail"/>
    <n v="4.9110959550000004"/>
    <s v="Rail"/>
    <s v="Route C"/>
    <n v="555.85910369999999"/>
  </r>
  <r>
    <s v="skincare"/>
    <s v="SKU66"/>
    <n v="26.03486977"/>
    <n v="52"/>
    <n v="704"/>
    <n v="8367.7216179999996"/>
    <x v="1"/>
    <n v="13"/>
    <n v="17"/>
    <n v="19"/>
    <n v="8"/>
    <s v="Carrier A"/>
    <n v="2.216142729"/>
    <s v="Supplier 5"/>
    <x v="1"/>
    <n v="24"/>
    <n v="867"/>
    <n v="28"/>
    <n v="42.084436740000001"/>
    <s v="Fail"/>
    <n v="3.4480632880000002"/>
    <s v="Road"/>
    <s v="Route A"/>
    <n v="393.84334860000001"/>
  </r>
  <r>
    <s v="skincare"/>
    <s v="SKU67"/>
    <n v="87.755432350000007"/>
    <n v="16"/>
    <n v="513"/>
    <n v="9473.7980329999991"/>
    <x v="2"/>
    <n v="12"/>
    <n v="9"/>
    <n v="71"/>
    <n v="9"/>
    <s v="Carrier C"/>
    <n v="9.1478115449999997"/>
    <s v="Supplier 1"/>
    <x v="0"/>
    <n v="10"/>
    <n v="198"/>
    <n v="11"/>
    <n v="7.057876147"/>
    <s v="Pass"/>
    <n v="0.13195544400000001"/>
    <s v="Sea"/>
    <s v="Route C"/>
    <n v="169.27180139999999"/>
  </r>
  <r>
    <s v="haircare"/>
    <s v="SKU68"/>
    <n v="37.931812379999997"/>
    <n v="29"/>
    <n v="163"/>
    <n v="3550.218433"/>
    <x v="0"/>
    <n v="0"/>
    <n v="8"/>
    <n v="58"/>
    <n v="8"/>
    <s v="Carrier B"/>
    <n v="1.194251865"/>
    <s v="Supplier 2"/>
    <x v="3"/>
    <n v="2"/>
    <n v="375"/>
    <n v="18"/>
    <n v="97.11358156"/>
    <s v="Fail"/>
    <n v="1.9834678720000001"/>
    <s v="Rail"/>
    <s v="Route A"/>
    <n v="299.70630310000001"/>
  </r>
  <r>
    <s v="skincare"/>
    <s v="SKU69"/>
    <n v="54.865528519999998"/>
    <n v="62"/>
    <n v="511"/>
    <n v="1752.381087"/>
    <x v="0"/>
    <n v="95"/>
    <n v="1"/>
    <n v="27"/>
    <n v="3"/>
    <s v="Carrier B"/>
    <n v="9.7052867900000006"/>
    <s v="Supplier 4"/>
    <x v="1"/>
    <n v="9"/>
    <n v="862"/>
    <n v="7"/>
    <n v="77.62776581"/>
    <s v="Pending"/>
    <n v="1.3623879889999999"/>
    <s v="Air"/>
    <s v="Route A"/>
    <n v="207.66320619999999"/>
  </r>
  <r>
    <s v="haircare"/>
    <s v="SKU70"/>
    <n v="47.914541819999997"/>
    <n v="90"/>
    <n v="32"/>
    <n v="7014.8879870000001"/>
    <x v="1"/>
    <n v="10"/>
    <n v="12"/>
    <n v="22"/>
    <n v="4"/>
    <s v="Carrier B"/>
    <n v="6.3157177549999997"/>
    <s v="Supplier 1"/>
    <x v="3"/>
    <n v="22"/>
    <n v="775"/>
    <n v="16"/>
    <n v="11.44078182"/>
    <s v="Pass"/>
    <n v="1.8305755990000001"/>
    <s v="Road"/>
    <s v="Route C"/>
    <n v="183.27289870000001"/>
  </r>
  <r>
    <s v="cosmetics"/>
    <s v="SKU71"/>
    <n v="6.3815331630000003"/>
    <n v="14"/>
    <n v="637"/>
    <n v="8180.3370850000001"/>
    <x v="1"/>
    <n v="76"/>
    <n v="2"/>
    <n v="26"/>
    <n v="6"/>
    <s v="Carrier A"/>
    <n v="9.2281903169999993"/>
    <s v="Supplier 2"/>
    <x v="3"/>
    <n v="2"/>
    <n v="258"/>
    <n v="10"/>
    <n v="30.661677480000002"/>
    <s v="Pending"/>
    <n v="2.078750608"/>
    <s v="Road"/>
    <s v="Route A"/>
    <n v="405.16706790000001"/>
  </r>
  <r>
    <s v="cosmetics"/>
    <s v="SKU72"/>
    <n v="90.204427519999996"/>
    <n v="88"/>
    <n v="478"/>
    <n v="2633.1219809999998"/>
    <x v="0"/>
    <n v="57"/>
    <n v="29"/>
    <n v="77"/>
    <n v="9"/>
    <s v="Carrier A"/>
    <n v="6.5996141599999998"/>
    <s v="Supplier 1"/>
    <x v="3"/>
    <n v="21"/>
    <n v="152"/>
    <n v="11"/>
    <n v="55.760492900000003"/>
    <s v="Pending"/>
    <n v="3.2133296069999999"/>
    <s v="Rail"/>
    <s v="Route B"/>
    <n v="677.94456979999995"/>
  </r>
  <r>
    <s v="cosmetics"/>
    <s v="SKU73"/>
    <n v="83.851017679999998"/>
    <n v="41"/>
    <n v="375"/>
    <n v="7910.8869160000004"/>
    <x v="3"/>
    <n v="17"/>
    <n v="25"/>
    <n v="66"/>
    <n v="5"/>
    <s v="Carrier B"/>
    <n v="1.512936837"/>
    <s v="Supplier 4"/>
    <x v="4"/>
    <n v="13"/>
    <n v="444"/>
    <n v="4"/>
    <n v="46.870238800000003"/>
    <s v="Fail"/>
    <n v="4.6205460650000001"/>
    <s v="Road"/>
    <s v="Route A"/>
    <n v="866.47280009999997"/>
  </r>
  <r>
    <s v="haircare"/>
    <s v="SKU74"/>
    <n v="3.1700114140000002"/>
    <n v="64"/>
    <n v="904"/>
    <n v="5709.9452959999999"/>
    <x v="1"/>
    <n v="41"/>
    <n v="6"/>
    <n v="1"/>
    <n v="5"/>
    <s v="Carrier A"/>
    <n v="5.2376546499999996"/>
    <s v="Supplier 4"/>
    <x v="2"/>
    <n v="1"/>
    <n v="919"/>
    <n v="9"/>
    <n v="80.580852160000006"/>
    <s v="Fail"/>
    <n v="0.39661272400000003"/>
    <s v="Rail"/>
    <s v="Route A"/>
    <n v="341.55265680000002"/>
  </r>
  <r>
    <s v="skincare"/>
    <s v="SKU75"/>
    <n v="92.996884230000006"/>
    <n v="29"/>
    <n v="106"/>
    <n v="1889.07359"/>
    <x v="0"/>
    <n v="16"/>
    <n v="20"/>
    <n v="56"/>
    <n v="10"/>
    <s v="Carrier C"/>
    <n v="2.4738977609999999"/>
    <s v="Supplier 1"/>
    <x v="4"/>
    <n v="25"/>
    <n v="759"/>
    <n v="11"/>
    <n v="48.064782639999997"/>
    <s v="Pass"/>
    <n v="2.0300690889999999"/>
    <s v="Air"/>
    <s v="Route C"/>
    <n v="873.12964799999997"/>
  </r>
  <r>
    <s v="haircare"/>
    <s v="SKU76"/>
    <n v="69.108799550000001"/>
    <n v="23"/>
    <n v="241"/>
    <n v="5328.3759840000002"/>
    <x v="3"/>
    <n v="38"/>
    <n v="1"/>
    <n v="22"/>
    <n v="10"/>
    <s v="Carrier A"/>
    <n v="7.0545383370000003"/>
    <s v="Supplier 2"/>
    <x v="3"/>
    <n v="25"/>
    <n v="985"/>
    <n v="24"/>
    <n v="64.323597800000002"/>
    <s v="Pending"/>
    <n v="2.1800374520000001"/>
    <s v="Rail"/>
    <s v="Route A"/>
    <n v="997.41345009999998"/>
  </r>
  <r>
    <s v="haircare"/>
    <s v="SKU77"/>
    <n v="57.449742960000002"/>
    <n v="14"/>
    <n v="359"/>
    <n v="2483.760178"/>
    <x v="2"/>
    <n v="96"/>
    <n v="28"/>
    <n v="57"/>
    <n v="4"/>
    <s v="Carrier B"/>
    <n v="6.7809466260000004"/>
    <s v="Supplier 1"/>
    <x v="1"/>
    <n v="26"/>
    <n v="334"/>
    <n v="5"/>
    <n v="42.952444749999998"/>
    <s v="Pass"/>
    <n v="3.0551418180000001"/>
    <s v="Road"/>
    <s v="Route B"/>
    <n v="852.5680989"/>
  </r>
  <r>
    <s v="haircare"/>
    <s v="SKU78"/>
    <n v="6.3068831760000004"/>
    <n v="50"/>
    <n v="946"/>
    <n v="1292.4584179999999"/>
    <x v="2"/>
    <n v="5"/>
    <n v="4"/>
    <n v="51"/>
    <n v="5"/>
    <s v="Carrier B"/>
    <n v="8.4670497709999992"/>
    <s v="Supplier 5"/>
    <x v="0"/>
    <n v="25"/>
    <n v="858"/>
    <n v="21"/>
    <n v="71.126514720000003"/>
    <s v="Pending"/>
    <n v="4.0968813319999997"/>
    <s v="Sea"/>
    <s v="Route C"/>
    <n v="323.59220340000002"/>
  </r>
  <r>
    <s v="haircare"/>
    <s v="SKU79"/>
    <n v="57.057031219999999"/>
    <n v="56"/>
    <n v="198"/>
    <n v="7888.7232679999997"/>
    <x v="0"/>
    <n v="31"/>
    <n v="25"/>
    <n v="20"/>
    <n v="1"/>
    <s v="Carrier B"/>
    <n v="6.4963253639999996"/>
    <s v="Supplier 3"/>
    <x v="3"/>
    <n v="5"/>
    <n v="228"/>
    <n v="12"/>
    <n v="57.870902919999999"/>
    <s v="Pending"/>
    <n v="0.16587162699999999"/>
    <s v="Air"/>
    <s v="Route C"/>
    <n v="351.50421929999999"/>
  </r>
  <r>
    <s v="skincare"/>
    <s v="SKU80"/>
    <n v="91.128318350000001"/>
    <n v="75"/>
    <n v="872"/>
    <n v="8651.6726830000007"/>
    <x v="2"/>
    <n v="39"/>
    <n v="14"/>
    <n v="41"/>
    <n v="2"/>
    <s v="Carrier C"/>
    <n v="2.8331846789999999"/>
    <s v="Supplier 3"/>
    <x v="4"/>
    <n v="8"/>
    <n v="202"/>
    <n v="5"/>
    <n v="76.961228019999993"/>
    <s v="Fail"/>
    <n v="2.849662199"/>
    <s v="Sea"/>
    <s v="Route B"/>
    <n v="787.77985049999995"/>
  </r>
  <r>
    <s v="haircare"/>
    <s v="SKU81"/>
    <n v="72.819206930000007"/>
    <n v="9"/>
    <n v="774"/>
    <n v="4384.4134000000004"/>
    <x v="2"/>
    <n v="48"/>
    <n v="6"/>
    <n v="8"/>
    <n v="5"/>
    <s v="Carrier B"/>
    <n v="4.0662775020000002"/>
    <s v="Supplier 3"/>
    <x v="2"/>
    <n v="28"/>
    <n v="698"/>
    <n v="1"/>
    <n v="19.789592939999999"/>
    <s v="Pending"/>
    <n v="2.5475471220000001"/>
    <s v="Rail"/>
    <s v="Route B"/>
    <n v="276.7783359"/>
  </r>
  <r>
    <s v="skincare"/>
    <s v="SKU82"/>
    <n v="17.03493074"/>
    <n v="13"/>
    <n v="336"/>
    <n v="2943.3818679999999"/>
    <x v="2"/>
    <n v="42"/>
    <n v="19"/>
    <n v="72"/>
    <n v="1"/>
    <s v="Carrier A"/>
    <n v="4.7081818740000001"/>
    <s v="Supplier 2"/>
    <x v="0"/>
    <n v="6"/>
    <n v="955"/>
    <n v="26"/>
    <n v="4.4652784350000001"/>
    <s v="Pending"/>
    <n v="4.1378770490000001"/>
    <s v="Road"/>
    <s v="Route C"/>
    <n v="589.97855560000005"/>
  </r>
  <r>
    <s v="haircare"/>
    <s v="SKU83"/>
    <n v="68.911246210000002"/>
    <n v="82"/>
    <n v="663"/>
    <n v="2411.7546320000001"/>
    <x v="2"/>
    <n v="65"/>
    <n v="24"/>
    <n v="7"/>
    <n v="8"/>
    <s v="Carrier B"/>
    <n v="4.9498395779999997"/>
    <s v="Supplier 1"/>
    <x v="3"/>
    <n v="20"/>
    <n v="443"/>
    <n v="5"/>
    <n v="97.730593799999994"/>
    <s v="Fail"/>
    <n v="0.77300613399999996"/>
    <s v="Road"/>
    <s v="Route A"/>
    <n v="682.9710182"/>
  </r>
  <r>
    <s v="haircare"/>
    <s v="SKU84"/>
    <n v="89.104367289999999"/>
    <n v="99"/>
    <n v="618"/>
    <n v="2048.2901000000002"/>
    <x v="2"/>
    <n v="73"/>
    <n v="26"/>
    <n v="80"/>
    <n v="10"/>
    <s v="Carrier A"/>
    <n v="8.3816156250000002"/>
    <s v="Supplier 5"/>
    <x v="4"/>
    <n v="24"/>
    <n v="589"/>
    <n v="22"/>
    <n v="33.808636509999999"/>
    <s v="Pass"/>
    <n v="4.8434565770000004"/>
    <s v="Air"/>
    <s v="Route B"/>
    <n v="465.45700599999998"/>
  </r>
  <r>
    <s v="cosmetics"/>
    <s v="SKU85"/>
    <n v="76.962994420000001"/>
    <n v="83"/>
    <n v="25"/>
    <n v="8684.6130589999993"/>
    <x v="1"/>
    <n v="15"/>
    <n v="18"/>
    <n v="66"/>
    <n v="2"/>
    <s v="Carrier C"/>
    <n v="8.2491687050000007"/>
    <s v="Supplier 5"/>
    <x v="4"/>
    <n v="4"/>
    <n v="211"/>
    <n v="2"/>
    <n v="69.929345519999998"/>
    <s v="Fail"/>
    <n v="1.3744289999999999"/>
    <s v="Road"/>
    <s v="Route B"/>
    <n v="842.68682999999999"/>
  </r>
  <r>
    <s v="skincare"/>
    <s v="SKU86"/>
    <n v="19.99817694"/>
    <n v="18"/>
    <n v="223"/>
    <n v="1229.5910289999999"/>
    <x v="2"/>
    <n v="32"/>
    <n v="14"/>
    <n v="22"/>
    <n v="6"/>
    <s v="Carrier B"/>
    <n v="1.4543053100000001"/>
    <s v="Supplier 1"/>
    <x v="0"/>
    <n v="4"/>
    <n v="569"/>
    <n v="18"/>
    <n v="74.608969999999999"/>
    <s v="Pass"/>
    <n v="2.051512931"/>
    <s v="Rail"/>
    <s v="Route A"/>
    <n v="264.2548898"/>
  </r>
  <r>
    <s v="haircare"/>
    <s v="SKU87"/>
    <n v="80.41403665"/>
    <n v="24"/>
    <n v="79"/>
    <n v="5133.8467010000004"/>
    <x v="3"/>
    <n v="5"/>
    <n v="7"/>
    <n v="55"/>
    <n v="10"/>
    <s v="Carrier A"/>
    <n v="6.5758037979999999"/>
    <s v="Supplier 3"/>
    <x v="4"/>
    <n v="27"/>
    <n v="523"/>
    <n v="17"/>
    <n v="28.696996819999999"/>
    <s v="Fail"/>
    <n v="3.693737788"/>
    <s v="Sea"/>
    <s v="Route B"/>
    <n v="879.35921770000004"/>
  </r>
  <r>
    <s v="cosmetics"/>
    <s v="SKU88"/>
    <n v="75.270406980000004"/>
    <n v="58"/>
    <n v="737"/>
    <n v="9444.7420330000004"/>
    <x v="3"/>
    <n v="60"/>
    <n v="18"/>
    <n v="85"/>
    <n v="7"/>
    <s v="Carrier A"/>
    <n v="3.8012531329999999"/>
    <s v="Supplier 2"/>
    <x v="0"/>
    <n v="21"/>
    <n v="953"/>
    <n v="11"/>
    <n v="68.184919059999999"/>
    <s v="Pending"/>
    <n v="0.72220440200000002"/>
    <s v="Sea"/>
    <s v="Route A"/>
    <n v="103.916248"/>
  </r>
  <r>
    <s v="cosmetics"/>
    <s v="SKU89"/>
    <n v="97.760085579999995"/>
    <n v="10"/>
    <n v="134"/>
    <n v="5924.6825669999998"/>
    <x v="2"/>
    <n v="90"/>
    <n v="1"/>
    <n v="27"/>
    <n v="8"/>
    <s v="Carrier B"/>
    <n v="9.9298162449999996"/>
    <s v="Supplier 1"/>
    <x v="1"/>
    <n v="23"/>
    <n v="370"/>
    <n v="11"/>
    <n v="46.603873380000003"/>
    <s v="Pending"/>
    <n v="1.9076657340000001"/>
    <s v="Rail"/>
    <s v="Route B"/>
    <n v="517.49997389999999"/>
  </r>
  <r>
    <s v="skincare"/>
    <s v="SKU90"/>
    <n v="13.8819135"/>
    <n v="56"/>
    <n v="320"/>
    <n v="9592.63357"/>
    <x v="0"/>
    <n v="66"/>
    <n v="18"/>
    <n v="96"/>
    <n v="7"/>
    <s v="Carrier B"/>
    <n v="7.674430708"/>
    <s v="Supplier 3"/>
    <x v="3"/>
    <n v="8"/>
    <n v="585"/>
    <n v="8"/>
    <n v="85.675963339999996"/>
    <s v="Pass"/>
    <n v="1.2193822240000001"/>
    <s v="Rail"/>
    <s v="Route B"/>
    <n v="990.07847249999998"/>
  </r>
  <r>
    <s v="cosmetics"/>
    <s v="SKU91"/>
    <n v="62.11196546"/>
    <n v="90"/>
    <n v="916"/>
    <n v="1935.2067939999999"/>
    <x v="3"/>
    <n v="98"/>
    <n v="22"/>
    <n v="85"/>
    <n v="7"/>
    <s v="Carrier B"/>
    <n v="7.4715140839999998"/>
    <s v="Supplier 4"/>
    <x v="2"/>
    <n v="5"/>
    <n v="207"/>
    <n v="28"/>
    <n v="39.772882500000001"/>
    <s v="Pending"/>
    <n v="0.62600185799999997"/>
    <s v="Rail"/>
    <s v="Route B"/>
    <n v="996.77831500000002"/>
  </r>
  <r>
    <s v="cosmetics"/>
    <s v="SKU92"/>
    <n v="47.71423308"/>
    <n v="44"/>
    <n v="276"/>
    <n v="2100.1297549999999"/>
    <x v="3"/>
    <n v="90"/>
    <n v="25"/>
    <n v="10"/>
    <n v="8"/>
    <s v="Carrier B"/>
    <n v="4.4695000260000004"/>
    <s v="Supplier 2"/>
    <x v="0"/>
    <n v="4"/>
    <n v="671"/>
    <n v="29"/>
    <n v="62.612690399999998"/>
    <s v="Pass"/>
    <n v="0.33343182500000002"/>
    <s v="Rail"/>
    <s v="Route B"/>
    <n v="230.0927825"/>
  </r>
  <r>
    <s v="haircare"/>
    <s v="SKU93"/>
    <n v="69.290830999999997"/>
    <n v="88"/>
    <n v="114"/>
    <n v="4531.4021339999999"/>
    <x v="2"/>
    <n v="63"/>
    <n v="17"/>
    <n v="66"/>
    <n v="1"/>
    <s v="Carrier C"/>
    <n v="7.0064320589999998"/>
    <s v="Supplier 4"/>
    <x v="4"/>
    <n v="21"/>
    <n v="824"/>
    <n v="20"/>
    <n v="35.633652339999998"/>
    <s v="Fail"/>
    <n v="4.165781795"/>
    <s v="Air"/>
    <s v="Route A"/>
    <n v="823.52384589999997"/>
  </r>
  <r>
    <s v="cosmetics"/>
    <s v="SKU94"/>
    <n v="3.0376887250000002"/>
    <n v="97"/>
    <n v="987"/>
    <n v="7888.3565470000003"/>
    <x v="2"/>
    <n v="77"/>
    <n v="26"/>
    <n v="72"/>
    <n v="9"/>
    <s v="Carrier B"/>
    <n v="6.9429459419999997"/>
    <s v="Supplier 2"/>
    <x v="2"/>
    <n v="12"/>
    <n v="908"/>
    <n v="14"/>
    <n v="60.387378609999999"/>
    <s v="Pass"/>
    <n v="1.463607498"/>
    <s v="Rail"/>
    <s v="Route B"/>
    <n v="846.665257"/>
  </r>
  <r>
    <s v="haircare"/>
    <s v="SKU95"/>
    <n v="77.90392722"/>
    <n v="65"/>
    <n v="672"/>
    <n v="7386.3639439999997"/>
    <x v="2"/>
    <n v="15"/>
    <n v="14"/>
    <n v="26"/>
    <n v="9"/>
    <s v="Carrier B"/>
    <n v="8.6303388699999992"/>
    <s v="Supplier 4"/>
    <x v="0"/>
    <n v="18"/>
    <n v="450"/>
    <n v="26"/>
    <n v="58.890685769999997"/>
    <s v="Pending"/>
    <n v="1.2108821299999999"/>
    <s v="Air"/>
    <s v="Route A"/>
    <n v="778.86424139999997"/>
  </r>
  <r>
    <s v="cosmetics"/>
    <s v="SKU96"/>
    <n v="24.423131420000001"/>
    <n v="29"/>
    <n v="324"/>
    <n v="7698.4247660000001"/>
    <x v="0"/>
    <n v="67"/>
    <n v="2"/>
    <n v="32"/>
    <n v="3"/>
    <s v="Carrier C"/>
    <n v="5.3528780439999997"/>
    <s v="Supplier 3"/>
    <x v="0"/>
    <n v="28"/>
    <n v="648"/>
    <n v="28"/>
    <n v="17.803756329999999"/>
    <s v="Pending"/>
    <n v="3.8720476810000002"/>
    <s v="Road"/>
    <s v="Route A"/>
    <n v="188.7421411"/>
  </r>
  <r>
    <s v="haircare"/>
    <s v="SKU97"/>
    <n v="3.5261112589999999"/>
    <n v="56"/>
    <n v="62"/>
    <n v="4370.9165800000001"/>
    <x v="3"/>
    <n v="46"/>
    <n v="19"/>
    <n v="4"/>
    <n v="9"/>
    <s v="Carrier A"/>
    <n v="7.9048456109999998"/>
    <s v="Supplier 4"/>
    <x v="0"/>
    <n v="10"/>
    <n v="535"/>
    <n v="13"/>
    <n v="65.765155930000006"/>
    <s v="Fail"/>
    <n v="3.376237835"/>
    <s v="Road"/>
    <s v="Route A"/>
    <n v="540.13242290000005"/>
  </r>
  <r>
    <s v="skincare"/>
    <s v="SKU98"/>
    <n v="19.754604870000001"/>
    <n v="43"/>
    <n v="913"/>
    <n v="8525.9525599999997"/>
    <x v="1"/>
    <n v="53"/>
    <n v="1"/>
    <n v="27"/>
    <n v="7"/>
    <s v="Carrier B"/>
    <n v="1.4098010949999999"/>
    <s v="Supplier 5"/>
    <x v="4"/>
    <n v="28"/>
    <n v="581"/>
    <n v="9"/>
    <n v="5.6046908640000002"/>
    <s v="Pending"/>
    <n v="2.9081221689999999"/>
    <s v="Rail"/>
    <s v="Route A"/>
    <n v="882.19886350000002"/>
  </r>
  <r>
    <s v="haircare"/>
    <s v="SKU99"/>
    <n v="68.5178327"/>
    <n v="17"/>
    <n v="627"/>
    <n v="9185.185829"/>
    <x v="2"/>
    <n v="55"/>
    <n v="8"/>
    <n v="59"/>
    <n v="6"/>
    <s v="Carrier B"/>
    <n v="1.311023756"/>
    <s v="Supplier 2"/>
    <x v="4"/>
    <n v="29"/>
    <n v="921"/>
    <n v="2"/>
    <n v="38.072898520000003"/>
    <s v="Fail"/>
    <n v="0.34602729100000001"/>
    <s v="Rail"/>
    <s v="Route B"/>
    <n v="210.743009"/>
  </r>
  <r>
    <s v="haircare"/>
    <s v="SKU0"/>
    <n v="69.808005539999996"/>
    <n v="55"/>
    <n v="802"/>
    <n v="8661.9967919999999"/>
    <x v="0"/>
    <n v="58"/>
    <n v="7"/>
    <n v="96"/>
    <n v="4"/>
    <s v="Carrier B"/>
    <n v="2.9565721389999999"/>
    <s v="Supplier 3"/>
    <x v="0"/>
    <n v="29"/>
    <n v="215"/>
    <n v="29"/>
    <n v="46.27987924"/>
    <s v="Pending"/>
    <n v="0.226410361"/>
    <s v="Road"/>
    <s v="Route B"/>
    <n v="187.75207549999999"/>
  </r>
  <r>
    <s v="skincare"/>
    <s v="SKU1"/>
    <n v="14.843523279999999"/>
    <n v="95"/>
    <n v="736"/>
    <n v="7460.9000649999998"/>
    <x v="1"/>
    <n v="53"/>
    <n v="30"/>
    <n v="37"/>
    <n v="2"/>
    <s v="Carrier A"/>
    <n v="9.7165747709999994"/>
    <s v="Supplier 3"/>
    <x v="0"/>
    <n v="23"/>
    <n v="517"/>
    <n v="30"/>
    <n v="33.616768950000001"/>
    <s v="Pending"/>
    <n v="4.8540680260000002"/>
    <s v="Road"/>
    <s v="Route B"/>
    <n v="503.06557909999998"/>
  </r>
  <r>
    <s v="haircare"/>
    <s v="SKU2"/>
    <n v="11.31968329"/>
    <n v="34"/>
    <n v="8"/>
    <n v="9577.7496260000007"/>
    <x v="2"/>
    <n v="1"/>
    <n v="10"/>
    <n v="88"/>
    <n v="2"/>
    <s v="Carrier B"/>
    <n v="8.0544792619999992"/>
    <s v="Supplier 1"/>
    <x v="0"/>
    <n v="12"/>
    <n v="971"/>
    <n v="27"/>
    <n v="30.688019350000001"/>
    <s v="Pending"/>
    <n v="4.5805926189999999"/>
    <s v="Air"/>
    <s v="Route C"/>
    <n v="141.9202818"/>
  </r>
  <r>
    <s v="skincare"/>
    <s v="SKU3"/>
    <n v="61.163343019999999"/>
    <n v="68"/>
    <n v="83"/>
    <n v="7766.8364259999998"/>
    <x v="0"/>
    <n v="23"/>
    <n v="13"/>
    <n v="59"/>
    <n v="6"/>
    <s v="Carrier C"/>
    <n v="1.729568564"/>
    <s v="Supplier 5"/>
    <x v="1"/>
    <n v="24"/>
    <n v="937"/>
    <n v="18"/>
    <n v="35.624741399999998"/>
    <s v="Fail"/>
    <n v="4.7466486210000003"/>
    <s v="Rail"/>
    <s v="Route A"/>
    <n v="254.7761592"/>
  </r>
  <r>
    <s v="skincare"/>
    <s v="SKU4"/>
    <n v="4.8054960360000001"/>
    <n v="26"/>
    <n v="871"/>
    <n v="2686.5051520000002"/>
    <x v="0"/>
    <n v="5"/>
    <n v="3"/>
    <n v="56"/>
    <n v="8"/>
    <s v="Carrier A"/>
    <n v="3.8905479160000001"/>
    <s v="Supplier 1"/>
    <x v="2"/>
    <n v="5"/>
    <n v="414"/>
    <n v="3"/>
    <n v="92.065160599999999"/>
    <s v="Fail"/>
    <n v="3.1455795229999999"/>
    <s v="Air"/>
    <s v="Route A"/>
    <n v="923.44063170000004"/>
  </r>
  <r>
    <s v="haircare"/>
    <s v="SKU5"/>
    <n v="1.699976014"/>
    <n v="87"/>
    <n v="147"/>
    <n v="2828.3487460000001"/>
    <x v="0"/>
    <n v="90"/>
    <n v="27"/>
    <n v="66"/>
    <n v="3"/>
    <s v="Carrier B"/>
    <n v="4.4440988639999999"/>
    <s v="Supplier 4"/>
    <x v="3"/>
    <n v="10"/>
    <n v="104"/>
    <n v="17"/>
    <n v="56.766475560000003"/>
    <s v="Fail"/>
    <n v="2.779193512"/>
    <s v="Road"/>
    <s v="Route A"/>
    <n v="235.4612367"/>
  </r>
  <r>
    <s v="skincare"/>
    <s v="SKU6"/>
    <n v="4.078332863"/>
    <n v="48"/>
    <n v="65"/>
    <n v="7823.4765600000001"/>
    <x v="3"/>
    <n v="11"/>
    <n v="15"/>
    <n v="58"/>
    <n v="8"/>
    <s v="Carrier C"/>
    <n v="3.8807633030000002"/>
    <s v="Supplier 3"/>
    <x v="1"/>
    <n v="14"/>
    <n v="314"/>
    <n v="24"/>
    <n v="1.08506857"/>
    <s v="Pending"/>
    <n v="1.0009106189999999"/>
    <s v="Sea"/>
    <s v="Route A"/>
    <n v="134.36909689999999"/>
  </r>
  <r>
    <s v="cosmetics"/>
    <s v="SKU7"/>
    <n v="42.958384379999998"/>
    <n v="59"/>
    <n v="426"/>
    <n v="8496.1038129999997"/>
    <x v="1"/>
    <n v="93"/>
    <n v="17"/>
    <n v="11"/>
    <n v="1"/>
    <s v="Carrier B"/>
    <n v="2.3483387840000001"/>
    <s v="Supplier 4"/>
    <x v="3"/>
    <n v="22"/>
    <n v="564"/>
    <n v="1"/>
    <n v="99.466108599999998"/>
    <s v="Fail"/>
    <n v="0.39817718699999999"/>
    <s v="Road"/>
    <s v="Route C"/>
    <n v="802.0563118"/>
  </r>
  <r>
    <s v="cosmetics"/>
    <s v="SKU8"/>
    <n v="68.717596749999998"/>
    <n v="78"/>
    <n v="150"/>
    <n v="7517.3632109999999"/>
    <x v="1"/>
    <n v="5"/>
    <n v="10"/>
    <n v="15"/>
    <n v="7"/>
    <s v="Carrier C"/>
    <n v="3.4047338570000001"/>
    <s v="Supplier 4"/>
    <x v="0"/>
    <n v="13"/>
    <n v="769"/>
    <n v="8"/>
    <n v="11.42302714"/>
    <s v="Pending"/>
    <n v="2.7098626910000001"/>
    <s v="Sea"/>
    <s v="Route B"/>
    <n v="505.55713420000001"/>
  </r>
  <r>
    <s v="skincare"/>
    <s v="SKU9"/>
    <n v="64.015732940000007"/>
    <n v="35"/>
    <n v="980"/>
    <n v="4971.1459880000002"/>
    <x v="2"/>
    <n v="14"/>
    <n v="27"/>
    <n v="83"/>
    <n v="1"/>
    <s v="Carrier A"/>
    <n v="7.166645291"/>
    <s v="Supplier 2"/>
    <x v="4"/>
    <n v="29"/>
    <n v="963"/>
    <n v="23"/>
    <n v="47.957601629999999"/>
    <s v="Pending"/>
    <n v="3.8446144790000001"/>
    <s v="Rail"/>
    <s v="Route B"/>
    <n v="995.9294615"/>
  </r>
  <r>
    <s v="skincare"/>
    <s v="SKU10"/>
    <n v="15.70779568"/>
    <n v="11"/>
    <n v="996"/>
    <n v="2330.9658020000002"/>
    <x v="0"/>
    <n v="51"/>
    <n v="13"/>
    <n v="80"/>
    <n v="2"/>
    <s v="Carrier C"/>
    <n v="8.6732112109999999"/>
    <s v="Supplier 5"/>
    <x v="1"/>
    <n v="18"/>
    <n v="830"/>
    <n v="5"/>
    <n v="96.527352789999995"/>
    <s v="Pass"/>
    <n v="1.7273139280000001"/>
    <s v="Road"/>
    <s v="Route B"/>
    <n v="806.10317769999995"/>
  </r>
  <r>
    <s v="skincare"/>
    <s v="SKU11"/>
    <n v="90.635459979999993"/>
    <n v="95"/>
    <n v="960"/>
    <n v="6099.9441159999997"/>
    <x v="1"/>
    <n v="46"/>
    <n v="23"/>
    <n v="60"/>
    <n v="1"/>
    <s v="Carrier A"/>
    <n v="4.5239431239999996"/>
    <s v="Supplier 2"/>
    <x v="1"/>
    <n v="28"/>
    <n v="362"/>
    <n v="11"/>
    <n v="27.592363089999999"/>
    <s v="Pending"/>
    <n v="2.1169820999999998E-2"/>
    <s v="Air"/>
    <s v="Route A"/>
    <n v="126.72303340000001"/>
  </r>
  <r>
    <s v="haircare"/>
    <s v="SKU12"/>
    <n v="71.213389079999999"/>
    <n v="41"/>
    <n v="336"/>
    <n v="2873.741446"/>
    <x v="2"/>
    <n v="100"/>
    <n v="30"/>
    <n v="85"/>
    <n v="4"/>
    <s v="Carrier A"/>
    <n v="1.32527401"/>
    <s v="Supplier 4"/>
    <x v="1"/>
    <n v="3"/>
    <n v="563"/>
    <n v="3"/>
    <n v="32.321286209999997"/>
    <s v="Fail"/>
    <n v="2.161253748"/>
    <s v="Road"/>
    <s v="Route B"/>
    <n v="402.96878909999998"/>
  </r>
  <r>
    <s v="skincare"/>
    <s v="SKU13"/>
    <n v="16.160393320000001"/>
    <n v="5"/>
    <n v="249"/>
    <n v="4052.7384160000001"/>
    <x v="3"/>
    <n v="80"/>
    <n v="8"/>
    <n v="48"/>
    <n v="9"/>
    <s v="Carrier A"/>
    <n v="9.5372830610000001"/>
    <s v="Supplier 5"/>
    <x v="3"/>
    <n v="23"/>
    <n v="173"/>
    <n v="10"/>
    <n v="97.829050109999997"/>
    <s v="Pending"/>
    <n v="1.6310742300000001"/>
    <s v="Road"/>
    <s v="Route B"/>
    <n v="547.24100520000002"/>
  </r>
  <r>
    <s v="skincare"/>
    <s v="SKU14"/>
    <n v="99.171328639999999"/>
    <n v="26"/>
    <n v="562"/>
    <n v="8653.5709260000003"/>
    <x v="0"/>
    <n v="54"/>
    <n v="29"/>
    <n v="78"/>
    <n v="5"/>
    <s v="Carrier B"/>
    <n v="2.039770189"/>
    <s v="Supplier 1"/>
    <x v="1"/>
    <n v="25"/>
    <n v="558"/>
    <n v="14"/>
    <n v="5.7914366299999998"/>
    <s v="Pending"/>
    <n v="0.100682852"/>
    <s v="Air"/>
    <s v="Route B"/>
    <n v="929.23528999999996"/>
  </r>
  <r>
    <s v="skincare"/>
    <s v="SKU15"/>
    <n v="36.989244929999998"/>
    <n v="94"/>
    <n v="469"/>
    <n v="5442.0867850000004"/>
    <x v="0"/>
    <n v="9"/>
    <n v="8"/>
    <n v="69"/>
    <n v="7"/>
    <s v="Carrier B"/>
    <n v="2.4220397230000001"/>
    <s v="Supplier 1"/>
    <x v="3"/>
    <n v="14"/>
    <n v="580"/>
    <n v="7"/>
    <n v="97.121281749999994"/>
    <s v="Pass"/>
    <n v="2.2644057609999999"/>
    <s v="Sea"/>
    <s v="Route B"/>
    <n v="127.8618"/>
  </r>
  <r>
    <s v="skincare"/>
    <s v="SKU16"/>
    <n v="7.54717211"/>
    <n v="74"/>
    <n v="280"/>
    <n v="6453.7979679999999"/>
    <x v="1"/>
    <n v="2"/>
    <n v="5"/>
    <n v="78"/>
    <n v="1"/>
    <s v="Carrier B"/>
    <n v="4.1913245860000004"/>
    <s v="Supplier 1"/>
    <x v="3"/>
    <n v="3"/>
    <n v="399"/>
    <n v="21"/>
    <n v="77.106342499999997"/>
    <s v="Pass"/>
    <n v="1.0125630889999999"/>
    <s v="Air"/>
    <s v="Route A"/>
    <n v="865.52577980000001"/>
  </r>
  <r>
    <s v="cosmetics"/>
    <s v="SKU17"/>
    <n v="81.46253437"/>
    <n v="82"/>
    <n v="126"/>
    <n v="2629.3964350000001"/>
    <x v="1"/>
    <n v="45"/>
    <n v="17"/>
    <n v="85"/>
    <n v="9"/>
    <s v="Carrier C"/>
    <n v="3.585418958"/>
    <s v="Supplier 1"/>
    <x v="4"/>
    <n v="7"/>
    <n v="453"/>
    <n v="16"/>
    <n v="47.67968037"/>
    <s v="Fail"/>
    <n v="0.102020755"/>
    <s v="Air"/>
    <s v="Route C"/>
    <n v="670.93439079999996"/>
  </r>
  <r>
    <s v="haircare"/>
    <s v="SKU18"/>
    <n v="36.443627769999999"/>
    <n v="23"/>
    <n v="620"/>
    <n v="9364.6735050000007"/>
    <x v="2"/>
    <n v="10"/>
    <n v="10"/>
    <n v="46"/>
    <n v="8"/>
    <s v="Carrier C"/>
    <n v="4.3392247140000002"/>
    <s v="Supplier 2"/>
    <x v="1"/>
    <n v="18"/>
    <n v="374"/>
    <n v="17"/>
    <n v="27.107980850000001"/>
    <s v="Pending"/>
    <n v="2.231939111"/>
    <s v="Sea"/>
    <s v="Route A"/>
    <n v="593.48025870000004"/>
  </r>
  <r>
    <s v="skincare"/>
    <s v="SKU19"/>
    <n v="51.123870089999997"/>
    <n v="100"/>
    <n v="187"/>
    <n v="2553.4955850000001"/>
    <x v="2"/>
    <n v="48"/>
    <n v="11"/>
    <n v="94"/>
    <n v="3"/>
    <s v="Carrier A"/>
    <n v="4.7426358830000002"/>
    <s v="Supplier 4"/>
    <x v="4"/>
    <n v="20"/>
    <n v="694"/>
    <n v="16"/>
    <n v="82.373320590000006"/>
    <s v="Fail"/>
    <n v="3.6464508649999998"/>
    <s v="Road"/>
    <s v="Route C"/>
    <n v="477.30763109999998"/>
  </r>
  <r>
    <s v="skincare"/>
    <s v="SKU20"/>
    <n v="96.341072440000005"/>
    <n v="22"/>
    <n v="320"/>
    <n v="8128.0276970000004"/>
    <x v="2"/>
    <n v="27"/>
    <n v="12"/>
    <n v="68"/>
    <n v="6"/>
    <s v="Carrier A"/>
    <n v="8.8783346509999994"/>
    <s v="Supplier 1"/>
    <x v="4"/>
    <n v="29"/>
    <n v="309"/>
    <n v="6"/>
    <n v="65.686259609999993"/>
    <s v="Pass"/>
    <n v="4.2314165739999998"/>
    <s v="Air"/>
    <s v="Route B"/>
    <n v="493.87121530000002"/>
  </r>
  <r>
    <s v="cosmetics"/>
    <s v="SKU21"/>
    <n v="84.893868979999993"/>
    <n v="60"/>
    <n v="601"/>
    <n v="7087.0526959999997"/>
    <x v="2"/>
    <n v="69"/>
    <n v="25"/>
    <n v="7"/>
    <n v="6"/>
    <s v="Carrier B"/>
    <n v="6.0378837689999996"/>
    <s v="Supplier 5"/>
    <x v="4"/>
    <n v="19"/>
    <n v="791"/>
    <n v="4"/>
    <n v="61.735728950000002"/>
    <s v="Pending"/>
    <n v="1.8607568000000001E-2"/>
    <s v="Air"/>
    <s v="Route C"/>
    <n v="523.36091469999997"/>
  </r>
  <r>
    <s v="haircare"/>
    <s v="SKU22"/>
    <n v="27.67978089"/>
    <n v="55"/>
    <n v="884"/>
    <n v="2390.807867"/>
    <x v="2"/>
    <n v="71"/>
    <n v="1"/>
    <n v="63"/>
    <n v="10"/>
    <s v="Carrier A"/>
    <n v="9.567648921"/>
    <s v="Supplier 4"/>
    <x v="1"/>
    <n v="22"/>
    <n v="780"/>
    <n v="28"/>
    <n v="50.120839609999997"/>
    <s v="Fail"/>
    <n v="2.5912754730000001"/>
    <s v="Rail"/>
    <s v="Route C"/>
    <n v="205.5719958"/>
  </r>
  <r>
    <s v="cosmetics"/>
    <s v="SKU23"/>
    <n v="4.3243411859999998"/>
    <n v="30"/>
    <n v="391"/>
    <n v="8858.3675710000007"/>
    <x v="2"/>
    <n v="84"/>
    <n v="5"/>
    <n v="29"/>
    <n v="7"/>
    <s v="Carrier A"/>
    <n v="2.9248576009999998"/>
    <s v="Supplier 5"/>
    <x v="1"/>
    <n v="11"/>
    <n v="568"/>
    <n v="29"/>
    <n v="98.60995724"/>
    <s v="Pending"/>
    <n v="1.3422915630000001"/>
    <s v="Rail"/>
    <s v="Route A"/>
    <n v="196.32944610000001"/>
  </r>
  <r>
    <s v="haircare"/>
    <s v="SKU24"/>
    <n v="4.1563083589999996"/>
    <n v="32"/>
    <n v="209"/>
    <n v="9049.0778609999998"/>
    <x v="3"/>
    <n v="4"/>
    <n v="26"/>
    <n v="2"/>
    <n v="8"/>
    <s v="Carrier C"/>
    <n v="9.7412916890000005"/>
    <s v="Supplier 2"/>
    <x v="3"/>
    <n v="28"/>
    <n v="447"/>
    <n v="3"/>
    <n v="40.382359700000002"/>
    <s v="Pending"/>
    <n v="3.6913102929999999"/>
    <s v="Air"/>
    <s v="Route A"/>
    <n v="758.72477260000005"/>
  </r>
  <r>
    <s v="haircare"/>
    <s v="SKU25"/>
    <n v="39.629343990000002"/>
    <n v="73"/>
    <n v="142"/>
    <n v="2174.7770540000001"/>
    <x v="3"/>
    <n v="82"/>
    <n v="11"/>
    <n v="52"/>
    <n v="3"/>
    <s v="Carrier C"/>
    <n v="2.2310736809999998"/>
    <s v="Supplier 4"/>
    <x v="1"/>
    <n v="19"/>
    <n v="934"/>
    <n v="23"/>
    <n v="78.280383119999996"/>
    <s v="Pending"/>
    <n v="3.7972312170000002"/>
    <s v="Road"/>
    <s v="Route B"/>
    <n v="458.53594570000001"/>
  </r>
  <r>
    <s v="haircare"/>
    <s v="SKU26"/>
    <n v="97.446946620000006"/>
    <n v="9"/>
    <n v="353"/>
    <n v="3716.4933259999998"/>
    <x v="3"/>
    <n v="59"/>
    <n v="16"/>
    <n v="48"/>
    <n v="4"/>
    <s v="Carrier B"/>
    <n v="6.5075486209999998"/>
    <s v="Supplier 2"/>
    <x v="3"/>
    <n v="26"/>
    <n v="171"/>
    <n v="4"/>
    <n v="15.972229759999999"/>
    <s v="Pass"/>
    <n v="2.1193197370000001"/>
    <s v="Rail"/>
    <s v="Route A"/>
    <n v="617.8669165"/>
  </r>
  <r>
    <s v="cosmetics"/>
    <s v="SKU27"/>
    <n v="92.557360810000006"/>
    <n v="42"/>
    <n v="352"/>
    <n v="2686.4572240000002"/>
    <x v="2"/>
    <n v="47"/>
    <n v="9"/>
    <n v="62"/>
    <n v="8"/>
    <s v="Carrier C"/>
    <n v="7.4067509530000004"/>
    <s v="Supplier 5"/>
    <x v="0"/>
    <n v="25"/>
    <n v="291"/>
    <n v="4"/>
    <n v="10.528245070000001"/>
    <s v="Fail"/>
    <n v="2.8646678379999999"/>
    <s v="Sea"/>
    <s v="Route B"/>
    <n v="762.45918219999999"/>
  </r>
  <r>
    <s v="cosmetics"/>
    <s v="SKU28"/>
    <n v="2.3972747060000001"/>
    <n v="12"/>
    <n v="394"/>
    <n v="6117.3246150000004"/>
    <x v="1"/>
    <n v="48"/>
    <n v="15"/>
    <n v="24"/>
    <n v="4"/>
    <s v="Carrier B"/>
    <n v="9.8981405079999991"/>
    <s v="Supplier 1"/>
    <x v="0"/>
    <n v="13"/>
    <n v="171"/>
    <n v="7"/>
    <n v="59.429381810000002"/>
    <s v="Fail"/>
    <n v="0.81575707900000005"/>
    <s v="Air"/>
    <s v="Route A"/>
    <n v="123.4370275"/>
  </r>
  <r>
    <s v="cosmetics"/>
    <s v="SKU29"/>
    <n v="63.44755919"/>
    <n v="3"/>
    <n v="253"/>
    <n v="8318.9031950000008"/>
    <x v="1"/>
    <n v="45"/>
    <n v="5"/>
    <n v="67"/>
    <n v="7"/>
    <s v="Carrier B"/>
    <n v="8.1009731449999993"/>
    <s v="Supplier 1"/>
    <x v="1"/>
    <n v="16"/>
    <n v="329"/>
    <n v="7"/>
    <n v="39.292875590000001"/>
    <s v="Pass"/>
    <n v="3.8780989369999999"/>
    <s v="Road"/>
    <s v="Route B"/>
    <n v="764.93537590000005"/>
  </r>
  <r>
    <s v="haircare"/>
    <s v="SKU30"/>
    <n v="8.0228592110000001"/>
    <n v="10"/>
    <n v="327"/>
    <n v="2766.3423670000002"/>
    <x v="3"/>
    <n v="60"/>
    <n v="26"/>
    <n v="35"/>
    <n v="7"/>
    <s v="Carrier B"/>
    <n v="8.9545283149999992"/>
    <s v="Supplier 4"/>
    <x v="1"/>
    <n v="27"/>
    <n v="806"/>
    <n v="30"/>
    <n v="51.634893400000003"/>
    <s v="Pending"/>
    <n v="0.96539470500000002"/>
    <s v="Road"/>
    <s v="Route C"/>
    <n v="880.08098819999998"/>
  </r>
  <r>
    <s v="skincare"/>
    <s v="SKU31"/>
    <n v="50.847393050000001"/>
    <n v="28"/>
    <n v="168"/>
    <n v="9655.1351030000005"/>
    <x v="3"/>
    <n v="6"/>
    <n v="17"/>
    <n v="44"/>
    <n v="4"/>
    <s v="Carrier B"/>
    <n v="2.6796609650000001"/>
    <s v="Supplier 3"/>
    <x v="4"/>
    <n v="24"/>
    <n v="461"/>
    <n v="8"/>
    <n v="60.251145659999999"/>
    <s v="Pending"/>
    <n v="2.989000007"/>
    <s v="Rail"/>
    <s v="Route C"/>
    <n v="609.37920659999997"/>
  </r>
  <r>
    <s v="skincare"/>
    <s v="SKU32"/>
    <n v="79.209936020000001"/>
    <n v="43"/>
    <n v="781"/>
    <n v="9571.5504870000004"/>
    <x v="2"/>
    <n v="89"/>
    <n v="13"/>
    <n v="64"/>
    <n v="4"/>
    <s v="Carrier C"/>
    <n v="6.5991049009999996"/>
    <s v="Supplier 3"/>
    <x v="1"/>
    <n v="30"/>
    <n v="737"/>
    <n v="7"/>
    <n v="29.692467149999999"/>
    <s v="Pass"/>
    <n v="1.946036119"/>
    <s v="Road"/>
    <s v="Route A"/>
    <n v="761.17390950000004"/>
  </r>
  <r>
    <s v="cosmetics"/>
    <s v="SKU33"/>
    <n v="64.795434999999998"/>
    <n v="63"/>
    <n v="616"/>
    <n v="5149.9983499999998"/>
    <x v="0"/>
    <n v="4"/>
    <n v="17"/>
    <n v="95"/>
    <n v="9"/>
    <s v="Carrier C"/>
    <n v="4.858270503"/>
    <s v="Supplier 5"/>
    <x v="4"/>
    <n v="1"/>
    <n v="251"/>
    <n v="23"/>
    <n v="23.85342751"/>
    <s v="Fail"/>
    <n v="3.5410460119999998"/>
    <s v="Sea"/>
    <s v="Route A"/>
    <n v="371.25529549999999"/>
  </r>
  <r>
    <s v="skincare"/>
    <s v="SKU34"/>
    <n v="37.467592330000002"/>
    <n v="96"/>
    <n v="602"/>
    <n v="9061.7108960000005"/>
    <x v="2"/>
    <n v="1"/>
    <n v="26"/>
    <n v="21"/>
    <n v="7"/>
    <s v="Carrier A"/>
    <n v="1.019487571"/>
    <s v="Supplier 1"/>
    <x v="4"/>
    <n v="4"/>
    <n v="452"/>
    <n v="10"/>
    <n v="10.754272820000001"/>
    <s v="Pass"/>
    <n v="0.64660455900000002"/>
    <s v="Road"/>
    <s v="Route B"/>
    <n v="510.35800039999998"/>
  </r>
  <r>
    <s v="cosmetics"/>
    <s v="SKU35"/>
    <n v="84.957786819999995"/>
    <n v="11"/>
    <n v="449"/>
    <n v="6541.3293450000001"/>
    <x v="1"/>
    <n v="42"/>
    <n v="27"/>
    <n v="85"/>
    <n v="8"/>
    <s v="Carrier C"/>
    <n v="5.2881899900000002"/>
    <s v="Supplier 1"/>
    <x v="2"/>
    <n v="3"/>
    <n v="367"/>
    <n v="2"/>
    <n v="58.004787039999997"/>
    <s v="Pass"/>
    <n v="0.54115409800000003"/>
    <s v="Sea"/>
    <s v="Route C"/>
    <n v="553.42047119999995"/>
  </r>
  <r>
    <s v="skincare"/>
    <s v="SKU36"/>
    <n v="9.8130025790000008"/>
    <n v="34"/>
    <n v="963"/>
    <n v="7573.4024579999996"/>
    <x v="1"/>
    <n v="18"/>
    <n v="23"/>
    <n v="28"/>
    <n v="3"/>
    <s v="Carrier B"/>
    <n v="2.1079512669999998"/>
    <s v="Supplier 2"/>
    <x v="2"/>
    <n v="26"/>
    <n v="671"/>
    <n v="19"/>
    <n v="45.531364240000002"/>
    <s v="Fail"/>
    <n v="3.8055333789999999"/>
    <s v="Air"/>
    <s v="Route C"/>
    <n v="403.80897420000002"/>
  </r>
  <r>
    <s v="skincare"/>
    <s v="SKU37"/>
    <n v="23.39984475"/>
    <n v="5"/>
    <n v="963"/>
    <n v="2438.3399300000001"/>
    <x v="1"/>
    <n v="25"/>
    <n v="8"/>
    <n v="21"/>
    <n v="9"/>
    <s v="Carrier A"/>
    <n v="1.5326552739999999"/>
    <s v="Supplier 3"/>
    <x v="1"/>
    <n v="24"/>
    <n v="867"/>
    <n v="15"/>
    <n v="34.343277469999997"/>
    <s v="Pending"/>
    <n v="2.6102880850000001"/>
    <s v="Sea"/>
    <s v="Route A"/>
    <n v="183.93296799999999"/>
  </r>
  <r>
    <s v="cosmetics"/>
    <s v="SKU38"/>
    <n v="52.075930679999999"/>
    <n v="75"/>
    <n v="705"/>
    <n v="9692.3180400000001"/>
    <x v="0"/>
    <n v="69"/>
    <n v="1"/>
    <n v="88"/>
    <n v="5"/>
    <s v="Carrier B"/>
    <n v="9.2359314369999996"/>
    <s v="Supplier 5"/>
    <x v="0"/>
    <n v="10"/>
    <n v="841"/>
    <n v="12"/>
    <n v="5.9306936459999999"/>
    <s v="Pending"/>
    <n v="0.61332689900000004"/>
    <s v="Air"/>
    <s v="Route B"/>
    <n v="339.67286990000002"/>
  </r>
  <r>
    <s v="skincare"/>
    <s v="SKU39"/>
    <n v="19.12747727"/>
    <n v="26"/>
    <n v="176"/>
    <n v="1912.4656629999999"/>
    <x v="1"/>
    <n v="78"/>
    <n v="29"/>
    <n v="34"/>
    <n v="3"/>
    <s v="Carrier A"/>
    <n v="5.562503779"/>
    <s v="Supplier 2"/>
    <x v="1"/>
    <n v="30"/>
    <n v="791"/>
    <n v="6"/>
    <n v="9.0058074290000008"/>
    <s v="Fail"/>
    <n v="1.451972204"/>
    <s v="Air"/>
    <s v="Route B"/>
    <n v="653.67299460000004"/>
  </r>
  <r>
    <s v="skincare"/>
    <s v="SKU40"/>
    <n v="80.541424169999999"/>
    <n v="97"/>
    <n v="933"/>
    <n v="5724.9593500000001"/>
    <x v="1"/>
    <n v="90"/>
    <n v="20"/>
    <n v="39"/>
    <n v="8"/>
    <s v="Carrier C"/>
    <n v="7.2295951399999998"/>
    <s v="Supplier 1"/>
    <x v="1"/>
    <n v="18"/>
    <n v="793"/>
    <n v="1"/>
    <n v="88.179407100000006"/>
    <s v="Pending"/>
    <n v="4.2132694309999996"/>
    <s v="Road"/>
    <s v="Route A"/>
    <n v="529.80872399999998"/>
  </r>
  <r>
    <s v="skincare"/>
    <s v="SKU41"/>
    <n v="99.113291619999998"/>
    <n v="35"/>
    <n v="556"/>
    <n v="5521.2052590000003"/>
    <x v="1"/>
    <n v="64"/>
    <n v="19"/>
    <n v="38"/>
    <n v="8"/>
    <s v="Carrier B"/>
    <n v="5.7732637440000003"/>
    <s v="Supplier 4"/>
    <x v="4"/>
    <n v="18"/>
    <n v="892"/>
    <n v="7"/>
    <n v="95.332064549999998"/>
    <s v="Fail"/>
    <n v="4.5302262000000003E-2"/>
    <s v="Sea"/>
    <s v="Route A"/>
    <n v="275.5243711"/>
  </r>
  <r>
    <s v="skincare"/>
    <s v="SKU42"/>
    <n v="46.529167610000002"/>
    <n v="98"/>
    <n v="155"/>
    <n v="1839.609426"/>
    <x v="1"/>
    <n v="22"/>
    <n v="27"/>
    <n v="57"/>
    <n v="4"/>
    <s v="Carrier C"/>
    <n v="7.5262483270000002"/>
    <s v="Supplier 5"/>
    <x v="3"/>
    <n v="26"/>
    <n v="179"/>
    <n v="7"/>
    <n v="96.422820639999998"/>
    <s v="Fail"/>
    <n v="4.9392552890000001"/>
    <s v="Road"/>
    <s v="Route A"/>
    <n v="635.65712050000002"/>
  </r>
  <r>
    <s v="haircare"/>
    <s v="SKU43"/>
    <n v="11.743271780000001"/>
    <n v="6"/>
    <n v="598"/>
    <n v="5737.4255990000001"/>
    <x v="2"/>
    <n v="36"/>
    <n v="29"/>
    <n v="85"/>
    <n v="9"/>
    <s v="Carrier B"/>
    <n v="3.6940212680000002"/>
    <s v="Supplier 5"/>
    <x v="0"/>
    <n v="1"/>
    <n v="206"/>
    <n v="23"/>
    <n v="26.277365960000001"/>
    <s v="Pending"/>
    <n v="0.37230476800000001"/>
    <s v="Air"/>
    <s v="Route A"/>
    <n v="716.04411979999998"/>
  </r>
  <r>
    <s v="cosmetics"/>
    <s v="SKU44"/>
    <n v="51.355790910000003"/>
    <n v="34"/>
    <n v="919"/>
    <n v="7152.2860490000003"/>
    <x v="1"/>
    <n v="13"/>
    <n v="19"/>
    <n v="72"/>
    <n v="6"/>
    <s v="Carrier C"/>
    <n v="7.5774496569999998"/>
    <s v="Supplier 2"/>
    <x v="2"/>
    <n v="7"/>
    <n v="834"/>
    <n v="18"/>
    <n v="22.554106619999999"/>
    <s v="Fail"/>
    <n v="2.96262632"/>
    <s v="Rail"/>
    <s v="Route A"/>
    <n v="610.4532696"/>
  </r>
  <r>
    <s v="haircare"/>
    <s v="SKU45"/>
    <n v="33.784138030000001"/>
    <n v="1"/>
    <n v="24"/>
    <n v="5267.9568079999999"/>
    <x v="3"/>
    <n v="93"/>
    <n v="7"/>
    <n v="52"/>
    <n v="6"/>
    <s v="Carrier B"/>
    <n v="5.2151550090000001"/>
    <s v="Supplier 2"/>
    <x v="4"/>
    <n v="25"/>
    <n v="794"/>
    <n v="25"/>
    <n v="66.312544439999996"/>
    <s v="Pass"/>
    <n v="3.2196046119999999"/>
    <s v="Rail"/>
    <s v="Route A"/>
    <n v="495.30569700000001"/>
  </r>
  <r>
    <s v="haircare"/>
    <s v="SKU46"/>
    <n v="27.082207199999999"/>
    <n v="75"/>
    <n v="859"/>
    <n v="2556.7673610000002"/>
    <x v="0"/>
    <n v="92"/>
    <n v="29"/>
    <n v="6"/>
    <n v="8"/>
    <s v="Carrier B"/>
    <n v="4.0709558369999996"/>
    <s v="Supplier 3"/>
    <x v="4"/>
    <n v="18"/>
    <n v="870"/>
    <n v="23"/>
    <n v="77.322353210000003"/>
    <s v="Pending"/>
    <n v="3.6486105929999999"/>
    <s v="Road"/>
    <s v="Route B"/>
    <n v="380.43593709999999"/>
  </r>
  <r>
    <s v="skincare"/>
    <s v="SKU47"/>
    <n v="95.712135880000005"/>
    <n v="93"/>
    <n v="910"/>
    <n v="7089.4742500000002"/>
    <x v="3"/>
    <n v="4"/>
    <n v="15"/>
    <n v="51"/>
    <n v="9"/>
    <s v="Carrier B"/>
    <n v="8.9787507560000002"/>
    <s v="Supplier 1"/>
    <x v="1"/>
    <n v="10"/>
    <n v="964"/>
    <n v="20"/>
    <n v="19.712992910000001"/>
    <s v="Pending"/>
    <n v="0.38057358699999999"/>
    <s v="Rail"/>
    <s v="Route A"/>
    <n v="581.60235509999995"/>
  </r>
  <r>
    <s v="haircare"/>
    <s v="SKU48"/>
    <n v="76.035544430000002"/>
    <n v="28"/>
    <n v="29"/>
    <n v="7397.0710049999998"/>
    <x v="0"/>
    <n v="30"/>
    <n v="16"/>
    <n v="9"/>
    <n v="3"/>
    <s v="Carrier C"/>
    <n v="7.0958331570000004"/>
    <s v="Supplier 2"/>
    <x v="0"/>
    <n v="9"/>
    <n v="109"/>
    <n v="18"/>
    <n v="23.12636358"/>
    <s v="Fail"/>
    <n v="1.698112541"/>
    <s v="Rail"/>
    <s v="Route B"/>
    <n v="768.65191400000003"/>
  </r>
  <r>
    <s v="cosmetics"/>
    <s v="SKU49"/>
    <n v="78.897913209999999"/>
    <n v="19"/>
    <n v="99"/>
    <n v="8001.6132070000003"/>
    <x v="2"/>
    <n v="97"/>
    <n v="24"/>
    <n v="9"/>
    <n v="6"/>
    <s v="Carrier C"/>
    <n v="2.5056210330000002"/>
    <s v="Supplier 5"/>
    <x v="2"/>
    <n v="28"/>
    <n v="177"/>
    <n v="28"/>
    <n v="14.14781544"/>
    <s v="Pass"/>
    <n v="2.8258139849999999"/>
    <s v="Rail"/>
    <s v="Route A"/>
    <n v="336.89016850000002"/>
  </r>
  <r>
    <s v="cosmetics"/>
    <s v="SKU50"/>
    <n v="14.20348426"/>
    <n v="91"/>
    <n v="633"/>
    <n v="5910.8853900000004"/>
    <x v="1"/>
    <n v="31"/>
    <n v="23"/>
    <n v="82"/>
    <n v="10"/>
    <s v="Carrier A"/>
    <n v="6.2478609150000004"/>
    <s v="Supplier 2"/>
    <x v="2"/>
    <n v="20"/>
    <n v="306"/>
    <n v="21"/>
    <n v="45.178757920000002"/>
    <s v="Fail"/>
    <n v="4.7548008050000004"/>
    <s v="Rail"/>
    <s v="Route B"/>
    <n v="496.24865030000001"/>
  </r>
  <r>
    <s v="haircare"/>
    <s v="SKU51"/>
    <n v="26.700760970000001"/>
    <n v="61"/>
    <n v="154"/>
    <n v="9866.4654580000006"/>
    <x v="3"/>
    <n v="100"/>
    <n v="4"/>
    <n v="52"/>
    <n v="1"/>
    <s v="Carrier A"/>
    <n v="4.7830005580000003"/>
    <s v="Supplier 5"/>
    <x v="3"/>
    <n v="18"/>
    <n v="673"/>
    <n v="28"/>
    <n v="14.190328340000001"/>
    <s v="Pending"/>
    <n v="1.772951172"/>
    <s v="Road"/>
    <s v="Route A"/>
    <n v="694.98231759999999"/>
  </r>
  <r>
    <s v="skincare"/>
    <s v="SKU52"/>
    <n v="98.03182966"/>
    <n v="1"/>
    <n v="820"/>
    <n v="9435.7626089999994"/>
    <x v="3"/>
    <n v="64"/>
    <n v="11"/>
    <n v="11"/>
    <n v="1"/>
    <s v="Carrier B"/>
    <n v="8.6310521799999993"/>
    <s v="Supplier 1"/>
    <x v="0"/>
    <n v="10"/>
    <n v="727"/>
    <n v="27"/>
    <n v="9.1668491490000008"/>
    <s v="Pending"/>
    <n v="2.1224716190000001"/>
    <s v="Air"/>
    <s v="Route C"/>
    <n v="602.89849879999997"/>
  </r>
  <r>
    <s v="skincare"/>
    <s v="SKU53"/>
    <n v="30.341470709999999"/>
    <n v="93"/>
    <n v="242"/>
    <n v="8232.3348289999994"/>
    <x v="3"/>
    <n v="96"/>
    <n v="25"/>
    <n v="54"/>
    <n v="3"/>
    <s v="Carrier B"/>
    <n v="1.0134865660000001"/>
    <s v="Supplier 1"/>
    <x v="2"/>
    <n v="1"/>
    <n v="631"/>
    <n v="17"/>
    <n v="83.344058989999994"/>
    <s v="Pending"/>
    <n v="1.4103475759999999"/>
    <s v="Air"/>
    <s v="Route B"/>
    <n v="750.73784069999999"/>
  </r>
  <r>
    <s v="haircare"/>
    <s v="SKU54"/>
    <n v="31.146243160000001"/>
    <n v="11"/>
    <n v="622"/>
    <n v="6088.0214800000003"/>
    <x v="0"/>
    <n v="33"/>
    <n v="22"/>
    <n v="61"/>
    <n v="3"/>
    <s v="Carrier B"/>
    <n v="4.3051034709999998"/>
    <s v="Supplier 1"/>
    <x v="1"/>
    <n v="26"/>
    <n v="497"/>
    <n v="29"/>
    <n v="30.186023380000002"/>
    <s v="Pass"/>
    <n v="2.478771976"/>
    <s v="Road"/>
    <s v="Route B"/>
    <n v="814.06999659999997"/>
  </r>
  <r>
    <s v="haircare"/>
    <s v="SKU55"/>
    <n v="79.855058339999999"/>
    <n v="16"/>
    <n v="701"/>
    <n v="2925.67517"/>
    <x v="3"/>
    <n v="97"/>
    <n v="11"/>
    <n v="11"/>
    <n v="5"/>
    <s v="Carrier A"/>
    <n v="5.0143649549999996"/>
    <s v="Supplier 2"/>
    <x v="2"/>
    <n v="27"/>
    <n v="918"/>
    <n v="5"/>
    <n v="30.32354526"/>
    <s v="Fail"/>
    <n v="4.5489196590000001"/>
    <s v="Sea"/>
    <s v="Route B"/>
    <n v="323.01292799999999"/>
  </r>
  <r>
    <s v="skincare"/>
    <s v="SKU56"/>
    <n v="20.986386039999999"/>
    <n v="90"/>
    <n v="93"/>
    <n v="4767.0204839999997"/>
    <x v="0"/>
    <n v="25"/>
    <n v="23"/>
    <n v="83"/>
    <n v="5"/>
    <s v="Carrier C"/>
    <n v="1.774429714"/>
    <s v="Supplier 1"/>
    <x v="0"/>
    <n v="24"/>
    <n v="826"/>
    <n v="28"/>
    <n v="12.83628457"/>
    <s v="Pass"/>
    <n v="1.173755495"/>
    <s v="Air"/>
    <s v="Route B"/>
    <n v="832.21080870000003"/>
  </r>
  <r>
    <s v="haircare"/>
    <s v="SKU57"/>
    <n v="49.26320535"/>
    <n v="65"/>
    <n v="227"/>
    <n v="1605.8669"/>
    <x v="2"/>
    <n v="5"/>
    <n v="18"/>
    <n v="51"/>
    <n v="1"/>
    <s v="Carrier B"/>
    <n v="9.1605585349999998"/>
    <s v="Supplier 2"/>
    <x v="2"/>
    <n v="21"/>
    <n v="588"/>
    <n v="25"/>
    <n v="67.779622989999993"/>
    <s v="Pending"/>
    <n v="2.5111748299999999"/>
    <s v="Rail"/>
    <s v="Route A"/>
    <n v="482.19123860000002"/>
  </r>
  <r>
    <s v="skincare"/>
    <s v="SKU58"/>
    <n v="59.841561380000002"/>
    <n v="81"/>
    <n v="896"/>
    <n v="2021.1498099999999"/>
    <x v="0"/>
    <n v="10"/>
    <n v="5"/>
    <n v="44"/>
    <n v="7"/>
    <s v="Carrier A"/>
    <n v="4.9384385650000002"/>
    <s v="Supplier 3"/>
    <x v="2"/>
    <n v="18"/>
    <n v="396"/>
    <n v="7"/>
    <n v="65.047415090000001"/>
    <s v="Fail"/>
    <n v="1.7303747199999999"/>
    <s v="Road"/>
    <s v="Route B"/>
    <n v="110.3643352"/>
  </r>
  <r>
    <s v="cosmetics"/>
    <s v="SKU59"/>
    <n v="63.828398350000001"/>
    <n v="30"/>
    <n v="484"/>
    <n v="1061.6185230000001"/>
    <x v="0"/>
    <n v="100"/>
    <n v="16"/>
    <n v="26"/>
    <n v="7"/>
    <s v="Carrier B"/>
    <n v="7.2937225970000004"/>
    <s v="Supplier 1"/>
    <x v="1"/>
    <n v="11"/>
    <n v="176"/>
    <n v="4"/>
    <n v="1.900762244"/>
    <s v="Fail"/>
    <n v="0.447194015"/>
    <s v="Air"/>
    <s v="Route A"/>
    <n v="312.57427360000003"/>
  </r>
  <r>
    <s v="skincare"/>
    <s v="SKU60"/>
    <n v="17.02802792"/>
    <n v="16"/>
    <n v="380"/>
    <n v="8864.0843499999992"/>
    <x v="1"/>
    <n v="41"/>
    <n v="27"/>
    <n v="72"/>
    <n v="8"/>
    <s v="Carrier C"/>
    <n v="4.3813681579999999"/>
    <s v="Supplier 4"/>
    <x v="0"/>
    <n v="29"/>
    <n v="929"/>
    <n v="24"/>
    <n v="87.213057820000003"/>
    <s v="Fail"/>
    <n v="2.8530906169999999"/>
    <s v="Rail"/>
    <s v="Route A"/>
    <n v="430.16909700000002"/>
  </r>
  <r>
    <s v="haircare"/>
    <s v="SKU61"/>
    <n v="52.028749900000001"/>
    <n v="23"/>
    <n v="117"/>
    <n v="6885.5893509999996"/>
    <x v="2"/>
    <n v="32"/>
    <n v="23"/>
    <n v="36"/>
    <n v="7"/>
    <s v="Carrier C"/>
    <n v="9.0303404230000002"/>
    <s v="Supplier 4"/>
    <x v="1"/>
    <n v="14"/>
    <n v="480"/>
    <n v="12"/>
    <n v="78.702393970000003"/>
    <s v="Fail"/>
    <n v="4.3674705380000001"/>
    <s v="Air"/>
    <s v="Route A"/>
    <n v="164.3665282"/>
  </r>
  <r>
    <s v="cosmetics"/>
    <s v="SKU62"/>
    <n v="72.796353960000005"/>
    <n v="89"/>
    <n v="270"/>
    <n v="3899.746834"/>
    <x v="2"/>
    <n v="86"/>
    <n v="2"/>
    <n v="40"/>
    <n v="7"/>
    <s v="Carrier C"/>
    <n v="7.291701389"/>
    <s v="Supplier 2"/>
    <x v="0"/>
    <n v="13"/>
    <n v="751"/>
    <n v="14"/>
    <n v="21.048642730000001"/>
    <s v="Pass"/>
    <n v="1.8740014039999999"/>
    <s v="Sea"/>
    <s v="Route C"/>
    <n v="320.84651580000002"/>
  </r>
  <r>
    <s v="skincare"/>
    <s v="SKU63"/>
    <n v="13.01737679"/>
    <n v="55"/>
    <n v="246"/>
    <n v="4256.9491410000001"/>
    <x v="0"/>
    <n v="54"/>
    <n v="19"/>
    <n v="10"/>
    <n v="4"/>
    <s v="Carrier A"/>
    <n v="2.4579335279999999"/>
    <s v="Supplier 3"/>
    <x v="3"/>
    <n v="18"/>
    <n v="736"/>
    <n v="10"/>
    <n v="20.075003980000002"/>
    <s v="Pending"/>
    <n v="3.6328432899999998"/>
    <s v="Sea"/>
    <s v="Route A"/>
    <n v="687.28617789999998"/>
  </r>
  <r>
    <s v="skincare"/>
    <s v="SKU64"/>
    <n v="89.634095610000003"/>
    <n v="11"/>
    <n v="134"/>
    <n v="8458.7308780000003"/>
    <x v="1"/>
    <n v="73"/>
    <n v="27"/>
    <n v="75"/>
    <n v="6"/>
    <s v="Carrier C"/>
    <n v="4.5853534680000001"/>
    <s v="Supplier 1"/>
    <x v="2"/>
    <n v="17"/>
    <n v="328"/>
    <n v="6"/>
    <n v="8.6930424259999999"/>
    <s v="Fail"/>
    <n v="0.15948631499999999"/>
    <s v="Air"/>
    <s v="Route C"/>
    <n v="771.22508470000002"/>
  </r>
  <r>
    <s v="skincare"/>
    <s v="SKU65"/>
    <n v="33.69771721"/>
    <n v="72"/>
    <n v="457"/>
    <n v="8354.5796859999991"/>
    <x v="3"/>
    <n v="57"/>
    <n v="24"/>
    <n v="54"/>
    <n v="8"/>
    <s v="Carrier C"/>
    <n v="6.5805413479999997"/>
    <s v="Supplier 5"/>
    <x v="1"/>
    <n v="16"/>
    <n v="358"/>
    <n v="21"/>
    <n v="1.5972227429999999"/>
    <s v="Fail"/>
    <n v="4.9110959550000004"/>
    <s v="Rail"/>
    <s v="Route C"/>
    <n v="555.85910369999999"/>
  </r>
  <r>
    <s v="skincare"/>
    <s v="SKU66"/>
    <n v="26.03486977"/>
    <n v="52"/>
    <n v="704"/>
    <n v="8367.7216179999996"/>
    <x v="1"/>
    <n v="13"/>
    <n v="17"/>
    <n v="19"/>
    <n v="8"/>
    <s v="Carrier A"/>
    <n v="2.216142729"/>
    <s v="Supplier 5"/>
    <x v="1"/>
    <n v="24"/>
    <n v="867"/>
    <n v="28"/>
    <n v="42.084436740000001"/>
    <s v="Fail"/>
    <n v="3.4480632880000002"/>
    <s v="Road"/>
    <s v="Route A"/>
    <n v="393.84334860000001"/>
  </r>
  <r>
    <s v="skincare"/>
    <s v="SKU67"/>
    <n v="87.755432350000007"/>
    <n v="16"/>
    <n v="513"/>
    <n v="9473.7980329999991"/>
    <x v="2"/>
    <n v="12"/>
    <n v="9"/>
    <n v="71"/>
    <n v="9"/>
    <s v="Carrier C"/>
    <n v="9.1478115449999997"/>
    <s v="Supplier 1"/>
    <x v="0"/>
    <n v="10"/>
    <n v="198"/>
    <n v="11"/>
    <n v="7.057876147"/>
    <s v="Pass"/>
    <n v="0.13195544400000001"/>
    <s v="Sea"/>
    <s v="Route C"/>
    <n v="169.27180139999999"/>
  </r>
  <r>
    <s v="haircare"/>
    <s v="SKU68"/>
    <n v="37.931812379999997"/>
    <n v="29"/>
    <n v="163"/>
    <n v="3550.218433"/>
    <x v="0"/>
    <n v="0"/>
    <n v="8"/>
    <n v="58"/>
    <n v="8"/>
    <s v="Carrier B"/>
    <n v="1.194251865"/>
    <s v="Supplier 2"/>
    <x v="3"/>
    <n v="2"/>
    <n v="375"/>
    <n v="18"/>
    <n v="97.11358156"/>
    <s v="Fail"/>
    <n v="1.9834678720000001"/>
    <s v="Rail"/>
    <s v="Route A"/>
    <n v="299.70630310000001"/>
  </r>
  <r>
    <s v="skincare"/>
    <s v="SKU69"/>
    <n v="54.865528519999998"/>
    <n v="62"/>
    <n v="511"/>
    <n v="1752.381087"/>
    <x v="0"/>
    <n v="95"/>
    <n v="1"/>
    <n v="27"/>
    <n v="3"/>
    <s v="Carrier B"/>
    <n v="9.7052867900000006"/>
    <s v="Supplier 4"/>
    <x v="1"/>
    <n v="9"/>
    <n v="862"/>
    <n v="7"/>
    <n v="77.62776581"/>
    <s v="Pending"/>
    <n v="1.3623879889999999"/>
    <s v="Air"/>
    <s v="Route A"/>
    <n v="207.66320619999999"/>
  </r>
  <r>
    <s v="haircare"/>
    <s v="SKU70"/>
    <n v="47.914541819999997"/>
    <n v="90"/>
    <n v="32"/>
    <n v="7014.8879870000001"/>
    <x v="1"/>
    <n v="10"/>
    <n v="12"/>
    <n v="22"/>
    <n v="4"/>
    <s v="Carrier B"/>
    <n v="6.3157177549999997"/>
    <s v="Supplier 1"/>
    <x v="3"/>
    <n v="22"/>
    <n v="775"/>
    <n v="16"/>
    <n v="11.44078182"/>
    <s v="Pass"/>
    <n v="1.8305755990000001"/>
    <s v="Road"/>
    <s v="Route C"/>
    <n v="183.27289870000001"/>
  </r>
  <r>
    <s v="cosmetics"/>
    <s v="SKU71"/>
    <n v="6.3815331630000003"/>
    <n v="14"/>
    <n v="637"/>
    <n v="8180.3370850000001"/>
    <x v="1"/>
    <n v="76"/>
    <n v="2"/>
    <n v="26"/>
    <n v="6"/>
    <s v="Carrier A"/>
    <n v="9.2281903169999993"/>
    <s v="Supplier 2"/>
    <x v="3"/>
    <n v="2"/>
    <n v="258"/>
    <n v="10"/>
    <n v="30.661677480000002"/>
    <s v="Pending"/>
    <n v="2.078750608"/>
    <s v="Road"/>
    <s v="Route A"/>
    <n v="405.16706790000001"/>
  </r>
  <r>
    <s v="cosmetics"/>
    <s v="SKU72"/>
    <n v="90.204427519999996"/>
    <n v="88"/>
    <n v="478"/>
    <n v="2633.1219809999998"/>
    <x v="0"/>
    <n v="57"/>
    <n v="29"/>
    <n v="77"/>
    <n v="9"/>
    <s v="Carrier A"/>
    <n v="6.5996141599999998"/>
    <s v="Supplier 1"/>
    <x v="3"/>
    <n v="21"/>
    <n v="152"/>
    <n v="11"/>
    <n v="55.760492900000003"/>
    <s v="Pending"/>
    <n v="3.2133296069999999"/>
    <s v="Rail"/>
    <s v="Route B"/>
    <n v="677.94456979999995"/>
  </r>
  <r>
    <s v="cosmetics"/>
    <s v="SKU73"/>
    <n v="83.851017679999998"/>
    <n v="41"/>
    <n v="375"/>
    <n v="7910.8869160000004"/>
    <x v="3"/>
    <n v="17"/>
    <n v="25"/>
    <n v="66"/>
    <n v="5"/>
    <s v="Carrier B"/>
    <n v="1.512936837"/>
    <s v="Supplier 4"/>
    <x v="4"/>
    <n v="13"/>
    <n v="444"/>
    <n v="4"/>
    <n v="46.870238800000003"/>
    <s v="Fail"/>
    <n v="4.6205460650000001"/>
    <s v="Road"/>
    <s v="Route A"/>
    <n v="866.47280009999997"/>
  </r>
  <r>
    <s v="haircare"/>
    <s v="SKU74"/>
    <n v="3.1700114140000002"/>
    <n v="64"/>
    <n v="904"/>
    <n v="5709.9452959999999"/>
    <x v="1"/>
    <n v="41"/>
    <n v="6"/>
    <n v="1"/>
    <n v="5"/>
    <s v="Carrier A"/>
    <n v="5.2376546499999996"/>
    <s v="Supplier 4"/>
    <x v="2"/>
    <n v="1"/>
    <n v="919"/>
    <n v="9"/>
    <n v="80.580852160000006"/>
    <s v="Fail"/>
    <n v="0.39661272400000003"/>
    <s v="Rail"/>
    <s v="Route A"/>
    <n v="341.55265680000002"/>
  </r>
  <r>
    <s v="skincare"/>
    <s v="SKU75"/>
    <n v="92.996884230000006"/>
    <n v="29"/>
    <n v="106"/>
    <n v="1889.07359"/>
    <x v="0"/>
    <n v="16"/>
    <n v="20"/>
    <n v="56"/>
    <n v="10"/>
    <s v="Carrier C"/>
    <n v="2.4738977609999999"/>
    <s v="Supplier 1"/>
    <x v="4"/>
    <n v="25"/>
    <n v="759"/>
    <n v="11"/>
    <n v="48.064782639999997"/>
    <s v="Pass"/>
    <n v="2.0300690889999999"/>
    <s v="Air"/>
    <s v="Route C"/>
    <n v="873.12964799999997"/>
  </r>
  <r>
    <s v="haircare"/>
    <s v="SKU76"/>
    <n v="69.108799550000001"/>
    <n v="23"/>
    <n v="241"/>
    <n v="5328.3759840000002"/>
    <x v="3"/>
    <n v="38"/>
    <n v="1"/>
    <n v="22"/>
    <n v="10"/>
    <s v="Carrier A"/>
    <n v="7.0545383370000003"/>
    <s v="Supplier 2"/>
    <x v="3"/>
    <n v="25"/>
    <n v="985"/>
    <n v="24"/>
    <n v="64.323597800000002"/>
    <s v="Pending"/>
    <n v="2.1800374520000001"/>
    <s v="Rail"/>
    <s v="Route A"/>
    <n v="997.41345009999998"/>
  </r>
  <r>
    <s v="haircare"/>
    <s v="SKU77"/>
    <n v="57.449742960000002"/>
    <n v="14"/>
    <n v="359"/>
    <n v="2483.760178"/>
    <x v="2"/>
    <n v="96"/>
    <n v="28"/>
    <n v="57"/>
    <n v="4"/>
    <s v="Carrier B"/>
    <n v="6.7809466260000004"/>
    <s v="Supplier 1"/>
    <x v="1"/>
    <n v="26"/>
    <n v="334"/>
    <n v="5"/>
    <n v="42.952444749999998"/>
    <s v="Pass"/>
    <n v="3.0551418180000001"/>
    <s v="Road"/>
    <s v="Route B"/>
    <n v="852.5680989"/>
  </r>
  <r>
    <s v="haircare"/>
    <s v="SKU78"/>
    <n v="6.3068831760000004"/>
    <n v="50"/>
    <n v="946"/>
    <n v="1292.4584179999999"/>
    <x v="2"/>
    <n v="5"/>
    <n v="4"/>
    <n v="51"/>
    <n v="5"/>
    <s v="Carrier B"/>
    <n v="8.4670497709999992"/>
    <s v="Supplier 5"/>
    <x v="0"/>
    <n v="25"/>
    <n v="858"/>
    <n v="21"/>
    <n v="71.126514720000003"/>
    <s v="Pending"/>
    <n v="4.0968813319999997"/>
    <s v="Sea"/>
    <s v="Route C"/>
    <n v="323.59220340000002"/>
  </r>
  <r>
    <s v="haircare"/>
    <s v="SKU79"/>
    <n v="57.057031219999999"/>
    <n v="56"/>
    <n v="198"/>
    <n v="7888.7232679999997"/>
    <x v="0"/>
    <n v="31"/>
    <n v="25"/>
    <n v="20"/>
    <n v="1"/>
    <s v="Carrier B"/>
    <n v="6.4963253639999996"/>
    <s v="Supplier 3"/>
    <x v="3"/>
    <n v="5"/>
    <n v="228"/>
    <n v="12"/>
    <n v="57.870902919999999"/>
    <s v="Pending"/>
    <n v="0.16587162699999999"/>
    <s v="Air"/>
    <s v="Route C"/>
    <n v="351.50421929999999"/>
  </r>
  <r>
    <s v="skincare"/>
    <s v="SKU80"/>
    <n v="91.128318350000001"/>
    <n v="75"/>
    <n v="872"/>
    <n v="8651.6726830000007"/>
    <x v="2"/>
    <n v="39"/>
    <n v="14"/>
    <n v="41"/>
    <n v="2"/>
    <s v="Carrier C"/>
    <n v="2.8331846789999999"/>
    <s v="Supplier 3"/>
    <x v="4"/>
    <n v="8"/>
    <n v="202"/>
    <n v="5"/>
    <n v="76.961228019999993"/>
    <s v="Fail"/>
    <n v="2.849662199"/>
    <s v="Sea"/>
    <s v="Route B"/>
    <n v="787.77985049999995"/>
  </r>
  <r>
    <s v="haircare"/>
    <s v="SKU81"/>
    <n v="72.819206930000007"/>
    <n v="9"/>
    <n v="774"/>
    <n v="4384.4134000000004"/>
    <x v="2"/>
    <n v="48"/>
    <n v="6"/>
    <n v="8"/>
    <n v="5"/>
    <s v="Carrier B"/>
    <n v="4.0662775020000002"/>
    <s v="Supplier 3"/>
    <x v="2"/>
    <n v="28"/>
    <n v="698"/>
    <n v="1"/>
    <n v="19.789592939999999"/>
    <s v="Pending"/>
    <n v="2.5475471220000001"/>
    <s v="Rail"/>
    <s v="Route B"/>
    <n v="276.7783359"/>
  </r>
  <r>
    <s v="skincare"/>
    <s v="SKU82"/>
    <n v="17.03493074"/>
    <n v="13"/>
    <n v="336"/>
    <n v="2943.3818679999999"/>
    <x v="2"/>
    <n v="42"/>
    <n v="19"/>
    <n v="72"/>
    <n v="1"/>
    <s v="Carrier A"/>
    <n v="4.7081818740000001"/>
    <s v="Supplier 2"/>
    <x v="0"/>
    <n v="6"/>
    <n v="955"/>
    <n v="26"/>
    <n v="4.4652784350000001"/>
    <s v="Pending"/>
    <n v="4.1378770490000001"/>
    <s v="Road"/>
    <s v="Route C"/>
    <n v="589.97855560000005"/>
  </r>
  <r>
    <s v="haircare"/>
    <s v="SKU83"/>
    <n v="68.911246210000002"/>
    <n v="82"/>
    <n v="663"/>
    <n v="2411.7546320000001"/>
    <x v="2"/>
    <n v="65"/>
    <n v="24"/>
    <n v="7"/>
    <n v="8"/>
    <s v="Carrier B"/>
    <n v="4.9498395779999997"/>
    <s v="Supplier 1"/>
    <x v="3"/>
    <n v="20"/>
    <n v="443"/>
    <n v="5"/>
    <n v="97.730593799999994"/>
    <s v="Fail"/>
    <n v="0.77300613399999996"/>
    <s v="Road"/>
    <s v="Route A"/>
    <n v="682.9710182"/>
  </r>
  <r>
    <s v="haircare"/>
    <s v="SKU84"/>
    <n v="89.104367289999999"/>
    <n v="99"/>
    <n v="618"/>
    <n v="2048.2901000000002"/>
    <x v="2"/>
    <n v="73"/>
    <n v="26"/>
    <n v="80"/>
    <n v="10"/>
    <s v="Carrier A"/>
    <n v="8.3816156250000002"/>
    <s v="Supplier 5"/>
    <x v="4"/>
    <n v="24"/>
    <n v="589"/>
    <n v="22"/>
    <n v="33.808636509999999"/>
    <s v="Pass"/>
    <n v="4.8434565770000004"/>
    <s v="Air"/>
    <s v="Route B"/>
    <n v="465.45700599999998"/>
  </r>
  <r>
    <s v="cosmetics"/>
    <s v="SKU85"/>
    <n v="76.962994420000001"/>
    <n v="83"/>
    <n v="25"/>
    <n v="8684.6130589999993"/>
    <x v="1"/>
    <n v="15"/>
    <n v="18"/>
    <n v="66"/>
    <n v="2"/>
    <s v="Carrier C"/>
    <n v="8.2491687050000007"/>
    <s v="Supplier 5"/>
    <x v="4"/>
    <n v="4"/>
    <n v="211"/>
    <n v="2"/>
    <n v="69.929345519999998"/>
    <s v="Fail"/>
    <n v="1.3744289999999999"/>
    <s v="Road"/>
    <s v="Route B"/>
    <n v="842.68682999999999"/>
  </r>
  <r>
    <s v="skincare"/>
    <s v="SKU86"/>
    <n v="19.99817694"/>
    <n v="18"/>
    <n v="223"/>
    <n v="1229.5910289999999"/>
    <x v="2"/>
    <n v="32"/>
    <n v="14"/>
    <n v="22"/>
    <n v="6"/>
    <s v="Carrier B"/>
    <n v="1.4543053100000001"/>
    <s v="Supplier 1"/>
    <x v="0"/>
    <n v="4"/>
    <n v="569"/>
    <n v="18"/>
    <n v="74.608969999999999"/>
    <s v="Pass"/>
    <n v="2.051512931"/>
    <s v="Rail"/>
    <s v="Route A"/>
    <n v="264.2548898"/>
  </r>
  <r>
    <s v="haircare"/>
    <s v="SKU87"/>
    <n v="80.41403665"/>
    <n v="24"/>
    <n v="79"/>
    <n v="5133.8467010000004"/>
    <x v="3"/>
    <n v="5"/>
    <n v="7"/>
    <n v="55"/>
    <n v="10"/>
    <s v="Carrier A"/>
    <n v="6.5758037979999999"/>
    <s v="Supplier 3"/>
    <x v="4"/>
    <n v="27"/>
    <n v="523"/>
    <n v="17"/>
    <n v="28.696996819999999"/>
    <s v="Fail"/>
    <n v="3.693737788"/>
    <s v="Sea"/>
    <s v="Route B"/>
    <n v="879.35921770000004"/>
  </r>
  <r>
    <s v="cosmetics"/>
    <s v="SKU88"/>
    <n v="75.270406980000004"/>
    <n v="58"/>
    <n v="737"/>
    <n v="9444.7420330000004"/>
    <x v="3"/>
    <n v="60"/>
    <n v="18"/>
    <n v="85"/>
    <n v="7"/>
    <s v="Carrier A"/>
    <n v="3.8012531329999999"/>
    <s v="Supplier 2"/>
    <x v="0"/>
    <n v="21"/>
    <n v="953"/>
    <n v="11"/>
    <n v="68.184919059999999"/>
    <s v="Pending"/>
    <n v="0.72220440200000002"/>
    <s v="Sea"/>
    <s v="Route A"/>
    <n v="103.916248"/>
  </r>
  <r>
    <s v="cosmetics"/>
    <s v="SKU89"/>
    <n v="97.760085579999995"/>
    <n v="10"/>
    <n v="134"/>
    <n v="5924.6825669999998"/>
    <x v="2"/>
    <n v="90"/>
    <n v="1"/>
    <n v="27"/>
    <n v="8"/>
    <s v="Carrier B"/>
    <n v="9.9298162449999996"/>
    <s v="Supplier 1"/>
    <x v="1"/>
    <n v="23"/>
    <n v="370"/>
    <n v="11"/>
    <n v="46.603873380000003"/>
    <s v="Pending"/>
    <n v="1.9076657340000001"/>
    <s v="Rail"/>
    <s v="Route B"/>
    <n v="517.49997389999999"/>
  </r>
  <r>
    <s v="skincare"/>
    <s v="SKU90"/>
    <n v="13.8819135"/>
    <n v="56"/>
    <n v="320"/>
    <n v="9592.63357"/>
    <x v="0"/>
    <n v="66"/>
    <n v="18"/>
    <n v="96"/>
    <n v="7"/>
    <s v="Carrier B"/>
    <n v="7.674430708"/>
    <s v="Supplier 3"/>
    <x v="3"/>
    <n v="8"/>
    <n v="585"/>
    <n v="8"/>
    <n v="85.675963339999996"/>
    <s v="Pass"/>
    <n v="1.2193822240000001"/>
    <s v="Rail"/>
    <s v="Route B"/>
    <n v="990.07847249999998"/>
  </r>
  <r>
    <s v="cosmetics"/>
    <s v="SKU91"/>
    <n v="62.11196546"/>
    <n v="90"/>
    <n v="916"/>
    <n v="1935.2067939999999"/>
    <x v="3"/>
    <n v="98"/>
    <n v="22"/>
    <n v="85"/>
    <n v="7"/>
    <s v="Carrier B"/>
    <n v="7.4715140839999998"/>
    <s v="Supplier 4"/>
    <x v="2"/>
    <n v="5"/>
    <n v="207"/>
    <n v="28"/>
    <n v="39.772882500000001"/>
    <s v="Pending"/>
    <n v="0.62600185799999997"/>
    <s v="Rail"/>
    <s v="Route B"/>
    <n v="996.77831500000002"/>
  </r>
  <r>
    <s v="cosmetics"/>
    <s v="SKU92"/>
    <n v="47.71423308"/>
    <n v="44"/>
    <n v="276"/>
    <n v="2100.1297549999999"/>
    <x v="3"/>
    <n v="90"/>
    <n v="25"/>
    <n v="10"/>
    <n v="8"/>
    <s v="Carrier B"/>
    <n v="4.4695000260000004"/>
    <s v="Supplier 2"/>
    <x v="0"/>
    <n v="4"/>
    <n v="671"/>
    <n v="29"/>
    <n v="62.612690399999998"/>
    <s v="Pass"/>
    <n v="0.33343182500000002"/>
    <s v="Rail"/>
    <s v="Route B"/>
    <n v="230.0927825"/>
  </r>
  <r>
    <s v="haircare"/>
    <s v="SKU93"/>
    <n v="69.290830999999997"/>
    <n v="88"/>
    <n v="114"/>
    <n v="4531.4021339999999"/>
    <x v="2"/>
    <n v="63"/>
    <n v="17"/>
    <n v="66"/>
    <n v="1"/>
    <s v="Carrier C"/>
    <n v="7.0064320589999998"/>
    <s v="Supplier 4"/>
    <x v="4"/>
    <n v="21"/>
    <n v="824"/>
    <n v="20"/>
    <n v="35.633652339999998"/>
    <s v="Fail"/>
    <n v="4.165781795"/>
    <s v="Air"/>
    <s v="Route A"/>
    <n v="823.52384589999997"/>
  </r>
  <r>
    <s v="cosmetics"/>
    <s v="SKU94"/>
    <n v="3.0376887250000002"/>
    <n v="97"/>
    <n v="987"/>
    <n v="7888.3565470000003"/>
    <x v="2"/>
    <n v="77"/>
    <n v="26"/>
    <n v="72"/>
    <n v="9"/>
    <s v="Carrier B"/>
    <n v="6.9429459419999997"/>
    <s v="Supplier 2"/>
    <x v="2"/>
    <n v="12"/>
    <n v="908"/>
    <n v="14"/>
    <n v="60.387378609999999"/>
    <s v="Pass"/>
    <n v="1.463607498"/>
    <s v="Rail"/>
    <s v="Route B"/>
    <n v="846.665257"/>
  </r>
  <r>
    <s v="haircare"/>
    <s v="SKU95"/>
    <n v="77.90392722"/>
    <n v="65"/>
    <n v="672"/>
    <n v="7386.3639439999997"/>
    <x v="2"/>
    <n v="15"/>
    <n v="14"/>
    <n v="26"/>
    <n v="9"/>
    <s v="Carrier B"/>
    <n v="8.6303388699999992"/>
    <s v="Supplier 4"/>
    <x v="0"/>
    <n v="18"/>
    <n v="450"/>
    <n v="26"/>
    <n v="58.890685769999997"/>
    <s v="Pending"/>
    <n v="1.2108821299999999"/>
    <s v="Air"/>
    <s v="Route A"/>
    <n v="778.86424139999997"/>
  </r>
  <r>
    <s v="cosmetics"/>
    <s v="SKU96"/>
    <n v="24.423131420000001"/>
    <n v="29"/>
    <n v="324"/>
    <n v="7698.4247660000001"/>
    <x v="0"/>
    <n v="67"/>
    <n v="2"/>
    <n v="32"/>
    <n v="3"/>
    <s v="Carrier C"/>
    <n v="5.3528780439999997"/>
    <s v="Supplier 3"/>
    <x v="0"/>
    <n v="28"/>
    <n v="648"/>
    <n v="28"/>
    <n v="17.803756329999999"/>
    <s v="Pending"/>
    <n v="3.8720476810000002"/>
    <s v="Road"/>
    <s v="Route A"/>
    <n v="188.7421411"/>
  </r>
  <r>
    <s v="haircare"/>
    <s v="SKU97"/>
    <n v="3.5261112589999999"/>
    <n v="56"/>
    <n v="62"/>
    <n v="4370.9165800000001"/>
    <x v="3"/>
    <n v="46"/>
    <n v="19"/>
    <n v="4"/>
    <n v="9"/>
    <s v="Carrier A"/>
    <n v="7.9048456109999998"/>
    <s v="Supplier 4"/>
    <x v="0"/>
    <n v="10"/>
    <n v="535"/>
    <n v="13"/>
    <n v="65.765155930000006"/>
    <s v="Fail"/>
    <n v="3.376237835"/>
    <s v="Road"/>
    <s v="Route A"/>
    <n v="540.13242290000005"/>
  </r>
  <r>
    <s v="skincare"/>
    <s v="SKU98"/>
    <n v="19.754604870000001"/>
    <n v="43"/>
    <n v="913"/>
    <n v="8525.9525599999997"/>
    <x v="1"/>
    <n v="53"/>
    <n v="1"/>
    <n v="27"/>
    <n v="7"/>
    <s v="Carrier B"/>
    <n v="1.4098010949999999"/>
    <s v="Supplier 5"/>
    <x v="4"/>
    <n v="28"/>
    <n v="581"/>
    <n v="9"/>
    <n v="5.6046908640000002"/>
    <s v="Pending"/>
    <n v="2.9081221689999999"/>
    <s v="Rail"/>
    <s v="Route A"/>
    <n v="882.19886350000002"/>
  </r>
  <r>
    <s v="haircare"/>
    <s v="SKU99"/>
    <n v="68.5178327"/>
    <n v="17"/>
    <n v="627"/>
    <n v="9185.185829"/>
    <x v="2"/>
    <n v="55"/>
    <n v="8"/>
    <n v="59"/>
    <n v="6"/>
    <s v="Carrier B"/>
    <n v="1.311023756"/>
    <s v="Supplier 2"/>
    <x v="4"/>
    <n v="29"/>
    <n v="921"/>
    <n v="2"/>
    <n v="38.072898520000003"/>
    <s v="Fail"/>
    <n v="0.34602729100000001"/>
    <s v="Rail"/>
    <s v="Route B"/>
    <n v="210.743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D3C5D-03FD-4309-BC53-267102A3C9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6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Customer_demographics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43EE1-28F9-4C6C-8645-4DB01ABF21B2}" name="Table1" displayName="Table1" ref="A1:X401" totalsRowShown="0">
  <autoFilter ref="A1:X401" xr:uid="{5A843EE1-28F9-4C6C-8645-4DB01ABF21B2}"/>
  <tableColumns count="24">
    <tableColumn id="1" xr3:uid="{FCA388D5-BE2E-4900-BE84-65C9B310D56D}" name="Product_type"/>
    <tableColumn id="2" xr3:uid="{669CAA06-98B0-419D-BBC4-5DD93192A096}" name="SKU"/>
    <tableColumn id="3" xr3:uid="{8EB21D3E-FF99-4C68-8F83-95E7310E860D}" name="Price"/>
    <tableColumn id="4" xr3:uid="{894F1CF0-FFEA-4F17-8048-7B8632EF9B12}" name="Availability"/>
    <tableColumn id="5" xr3:uid="{6EAD2A9C-6949-4F02-AA3E-482292287C79}" name="Number_of_products_sold"/>
    <tableColumn id="6" xr3:uid="{E9CB705D-C95B-482D-A09F-6DB5B05D2E2C}" name="Revenue_generated"/>
    <tableColumn id="7" xr3:uid="{F5A3195D-F15F-40DF-B427-1B277D738903}" name="Customer_demographics"/>
    <tableColumn id="8" xr3:uid="{309AA97B-A13E-435E-AC96-2FE8A9A7E88D}" name="Stock_levels"/>
    <tableColumn id="9" xr3:uid="{3938518C-BC41-4C75-B3C9-77FEDF5E0390}" name="Lead_times"/>
    <tableColumn id="10" xr3:uid="{869B06F6-013E-4D52-B1D0-F9EAC8E1D860}" name="Order_quantities"/>
    <tableColumn id="11" xr3:uid="{701C81A8-0F73-451C-9963-788F62F1252B}" name="Shipping_times"/>
    <tableColumn id="12" xr3:uid="{5CA0FF32-20E8-43E3-B3E0-FE4C889CB78F}" name="Shipping_carriers"/>
    <tableColumn id="13" xr3:uid="{47DE58CB-CDE5-4B7C-BBD8-AA1F0EFA55C4}" name="Shipping_costs"/>
    <tableColumn id="14" xr3:uid="{FA507011-E1D9-4395-A1DB-74E75966DA57}" name="Supplier_name"/>
    <tableColumn id="15" xr3:uid="{783B921E-7E99-4908-A62C-6510F60F533A}" name="Location"/>
    <tableColumn id="16" xr3:uid="{91DD5812-A4AC-46FA-A247-A1D356FC0D0E}" name="Lead_time"/>
    <tableColumn id="17" xr3:uid="{74859E34-4339-4D1B-83C1-2834F0A27049}" name="Production_volumes"/>
    <tableColumn id="18" xr3:uid="{2FE914AD-D98D-4517-A6D0-70C59CBF83CB}" name="Manufacturing_lead_time"/>
    <tableColumn id="19" xr3:uid="{37558C30-4DDC-487F-BE24-1F8207D6DCE0}" name="Manufacturing_costs"/>
    <tableColumn id="20" xr3:uid="{DAE2F826-A2C2-4B1B-A0F7-1C9A4AB36D46}" name="Inspection_results"/>
    <tableColumn id="21" xr3:uid="{DF21D9D3-CB08-45D5-8044-9E855FF03011}" name="Defect_rates"/>
    <tableColumn id="22" xr3:uid="{997451FF-8D10-46DE-929A-3973FB0A5EF7}" name="Transportation_modes"/>
    <tableColumn id="23" xr3:uid="{FC58D4E9-FE9E-43D5-9C6B-62316E940644}" name="Routes"/>
    <tableColumn id="24" xr3:uid="{7782D5EF-4CC9-4FD2-A964-36FBF5ECEEC8}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8379-6D06-4CAE-B815-29A55518BCE5}">
  <dimension ref="A1:X401"/>
  <sheetViews>
    <sheetView tabSelected="1" workbookViewId="0">
      <selection activeCell="F7" sqref="F7"/>
    </sheetView>
  </sheetViews>
  <sheetFormatPr defaultRowHeight="14.4" x14ac:dyDescent="0.3"/>
  <cols>
    <col min="1" max="1" width="14.33203125" customWidth="1"/>
    <col min="2" max="2" width="8.21875" customWidth="1"/>
    <col min="3" max="3" width="12" bestFit="1" customWidth="1"/>
    <col min="4" max="4" width="12.109375" customWidth="1"/>
    <col min="5" max="5" width="25.44140625" customWidth="1"/>
    <col min="6" max="6" width="19.77734375" customWidth="1"/>
    <col min="7" max="7" width="23.88671875" customWidth="1"/>
    <col min="8" max="8" width="13.21875" customWidth="1"/>
    <col min="9" max="9" width="12.44140625" customWidth="1"/>
    <col min="10" max="10" width="17" customWidth="1"/>
    <col min="11" max="11" width="15.77734375" customWidth="1"/>
    <col min="12" max="12" width="17.33203125" customWidth="1"/>
    <col min="13" max="13" width="15.44140625" customWidth="1"/>
    <col min="14" max="14" width="15.5546875" customWidth="1"/>
    <col min="15" max="15" width="10.109375" customWidth="1"/>
    <col min="16" max="16" width="11.6640625" customWidth="1"/>
    <col min="17" max="17" width="20.33203125" customWidth="1"/>
    <col min="18" max="18" width="24.77734375" customWidth="1"/>
    <col min="19" max="19" width="20.6640625" customWidth="1"/>
    <col min="20" max="20" width="18.109375" customWidth="1"/>
    <col min="21" max="21" width="13.44140625" customWidth="1"/>
    <col min="22" max="22" width="22" customWidth="1"/>
    <col min="23" max="23" width="8.6640625" customWidth="1"/>
    <col min="24" max="24" width="1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  <row r="102" spans="1:24" x14ac:dyDescent="0.3">
      <c r="A102" t="s">
        <v>24</v>
      </c>
      <c r="B102" t="s">
        <v>25</v>
      </c>
      <c r="C102">
        <v>69.808005539999996</v>
      </c>
      <c r="D102">
        <v>55</v>
      </c>
      <c r="E102">
        <v>802</v>
      </c>
      <c r="F102">
        <v>8661.9967919999999</v>
      </c>
      <c r="G102" t="s">
        <v>26</v>
      </c>
      <c r="H102">
        <v>58</v>
      </c>
      <c r="I102">
        <v>7</v>
      </c>
      <c r="J102">
        <v>96</v>
      </c>
      <c r="K102">
        <v>4</v>
      </c>
      <c r="L102" t="s">
        <v>27</v>
      </c>
      <c r="M102">
        <v>2.9565721389999999</v>
      </c>
      <c r="N102" t="s">
        <v>28</v>
      </c>
      <c r="O102" t="s">
        <v>29</v>
      </c>
      <c r="P102">
        <v>29</v>
      </c>
      <c r="Q102">
        <v>215</v>
      </c>
      <c r="R102">
        <v>29</v>
      </c>
      <c r="S102">
        <v>46.27987924</v>
      </c>
      <c r="T102" t="s">
        <v>30</v>
      </c>
      <c r="U102">
        <v>0.226410361</v>
      </c>
      <c r="V102" t="s">
        <v>31</v>
      </c>
      <c r="W102" t="s">
        <v>32</v>
      </c>
      <c r="X102">
        <v>187.75207549999999</v>
      </c>
    </row>
    <row r="103" spans="1:24" x14ac:dyDescent="0.3">
      <c r="A103" t="s">
        <v>33</v>
      </c>
      <c r="B103" t="s">
        <v>34</v>
      </c>
      <c r="C103">
        <v>14.843523279999999</v>
      </c>
      <c r="D103">
        <v>95</v>
      </c>
      <c r="E103">
        <v>736</v>
      </c>
      <c r="F103">
        <v>7460.9000649999998</v>
      </c>
      <c r="G103" t="s">
        <v>35</v>
      </c>
      <c r="H103">
        <v>53</v>
      </c>
      <c r="I103">
        <v>30</v>
      </c>
      <c r="J103">
        <v>37</v>
      </c>
      <c r="K103">
        <v>2</v>
      </c>
      <c r="L103" t="s">
        <v>36</v>
      </c>
      <c r="M103">
        <v>9.7165747709999994</v>
      </c>
      <c r="N103" t="s">
        <v>28</v>
      </c>
      <c r="O103" t="s">
        <v>29</v>
      </c>
      <c r="P103">
        <v>23</v>
      </c>
      <c r="Q103">
        <v>517</v>
      </c>
      <c r="R103">
        <v>30</v>
      </c>
      <c r="S103">
        <v>33.616768950000001</v>
      </c>
      <c r="T103" t="s">
        <v>30</v>
      </c>
      <c r="U103">
        <v>4.8540680260000002</v>
      </c>
      <c r="V103" t="s">
        <v>31</v>
      </c>
      <c r="W103" t="s">
        <v>32</v>
      </c>
      <c r="X103">
        <v>503.06557909999998</v>
      </c>
    </row>
    <row r="104" spans="1:24" x14ac:dyDescent="0.3">
      <c r="A104" t="s">
        <v>24</v>
      </c>
      <c r="B104" t="s">
        <v>37</v>
      </c>
      <c r="C104">
        <v>11.31968329</v>
      </c>
      <c r="D104">
        <v>34</v>
      </c>
      <c r="E104">
        <v>8</v>
      </c>
      <c r="F104">
        <v>9577.7496260000007</v>
      </c>
      <c r="G104" t="s">
        <v>38</v>
      </c>
      <c r="H104">
        <v>1</v>
      </c>
      <c r="I104">
        <v>10</v>
      </c>
      <c r="J104">
        <v>88</v>
      </c>
      <c r="K104">
        <v>2</v>
      </c>
      <c r="L104" t="s">
        <v>27</v>
      </c>
      <c r="M104">
        <v>8.0544792619999992</v>
      </c>
      <c r="N104" t="s">
        <v>39</v>
      </c>
      <c r="O104" t="s">
        <v>29</v>
      </c>
      <c r="P104">
        <v>12</v>
      </c>
      <c r="Q104">
        <v>971</v>
      </c>
      <c r="R104">
        <v>27</v>
      </c>
      <c r="S104">
        <v>30.688019350000001</v>
      </c>
      <c r="T104" t="s">
        <v>30</v>
      </c>
      <c r="U104">
        <v>4.5805926189999999</v>
      </c>
      <c r="V104" t="s">
        <v>40</v>
      </c>
      <c r="W104" t="s">
        <v>41</v>
      </c>
      <c r="X104">
        <v>141.9202818</v>
      </c>
    </row>
    <row r="105" spans="1:24" x14ac:dyDescent="0.3">
      <c r="A105" t="s">
        <v>33</v>
      </c>
      <c r="B105" t="s">
        <v>42</v>
      </c>
      <c r="C105">
        <v>61.163343019999999</v>
      </c>
      <c r="D105">
        <v>68</v>
      </c>
      <c r="E105">
        <v>83</v>
      </c>
      <c r="F105">
        <v>7766.8364259999998</v>
      </c>
      <c r="G105" t="s">
        <v>26</v>
      </c>
      <c r="H105">
        <v>23</v>
      </c>
      <c r="I105">
        <v>13</v>
      </c>
      <c r="J105">
        <v>59</v>
      </c>
      <c r="K105">
        <v>6</v>
      </c>
      <c r="L105" t="s">
        <v>43</v>
      </c>
      <c r="M105">
        <v>1.729568564</v>
      </c>
      <c r="N105" t="s">
        <v>44</v>
      </c>
      <c r="O105" t="s">
        <v>45</v>
      </c>
      <c r="P105">
        <v>24</v>
      </c>
      <c r="Q105">
        <v>937</v>
      </c>
      <c r="R105">
        <v>18</v>
      </c>
      <c r="S105">
        <v>35.624741399999998</v>
      </c>
      <c r="T105" t="s">
        <v>46</v>
      </c>
      <c r="U105">
        <v>4.7466486210000003</v>
      </c>
      <c r="V105" t="s">
        <v>47</v>
      </c>
      <c r="W105" t="s">
        <v>48</v>
      </c>
      <c r="X105">
        <v>254.7761592</v>
      </c>
    </row>
    <row r="106" spans="1:24" x14ac:dyDescent="0.3">
      <c r="A106" t="s">
        <v>33</v>
      </c>
      <c r="B106" t="s">
        <v>49</v>
      </c>
      <c r="C106">
        <v>4.8054960360000001</v>
      </c>
      <c r="D106">
        <v>26</v>
      </c>
      <c r="E106">
        <v>871</v>
      </c>
      <c r="F106">
        <v>2686.5051520000002</v>
      </c>
      <c r="G106" t="s">
        <v>26</v>
      </c>
      <c r="H106">
        <v>5</v>
      </c>
      <c r="I106">
        <v>3</v>
      </c>
      <c r="J106">
        <v>56</v>
      </c>
      <c r="K106">
        <v>8</v>
      </c>
      <c r="L106" t="s">
        <v>36</v>
      </c>
      <c r="M106">
        <v>3.8905479160000001</v>
      </c>
      <c r="N106" t="s">
        <v>39</v>
      </c>
      <c r="O106" t="s">
        <v>50</v>
      </c>
      <c r="P106">
        <v>5</v>
      </c>
      <c r="Q106">
        <v>414</v>
      </c>
      <c r="R106">
        <v>3</v>
      </c>
      <c r="S106">
        <v>92.065160599999999</v>
      </c>
      <c r="T106" t="s">
        <v>46</v>
      </c>
      <c r="U106">
        <v>3.1455795229999999</v>
      </c>
      <c r="V106" t="s">
        <v>40</v>
      </c>
      <c r="W106" t="s">
        <v>48</v>
      </c>
      <c r="X106">
        <v>923.44063170000004</v>
      </c>
    </row>
    <row r="107" spans="1:24" x14ac:dyDescent="0.3">
      <c r="A107" t="s">
        <v>24</v>
      </c>
      <c r="B107" t="s">
        <v>51</v>
      </c>
      <c r="C107">
        <v>1.699976014</v>
      </c>
      <c r="D107">
        <v>87</v>
      </c>
      <c r="E107">
        <v>147</v>
      </c>
      <c r="F107">
        <v>2828.3487460000001</v>
      </c>
      <c r="G107" t="s">
        <v>26</v>
      </c>
      <c r="H107">
        <v>90</v>
      </c>
      <c r="I107">
        <v>27</v>
      </c>
      <c r="J107">
        <v>66</v>
      </c>
      <c r="K107">
        <v>3</v>
      </c>
      <c r="L107" t="s">
        <v>27</v>
      </c>
      <c r="M107">
        <v>4.4440988639999999</v>
      </c>
      <c r="N107" t="s">
        <v>52</v>
      </c>
      <c r="O107" t="s">
        <v>53</v>
      </c>
      <c r="P107">
        <v>10</v>
      </c>
      <c r="Q107">
        <v>104</v>
      </c>
      <c r="R107">
        <v>17</v>
      </c>
      <c r="S107">
        <v>56.766475560000003</v>
      </c>
      <c r="T107" t="s">
        <v>46</v>
      </c>
      <c r="U107">
        <v>2.779193512</v>
      </c>
      <c r="V107" t="s">
        <v>31</v>
      </c>
      <c r="W107" t="s">
        <v>48</v>
      </c>
      <c r="X107">
        <v>235.4612367</v>
      </c>
    </row>
    <row r="108" spans="1:24" x14ac:dyDescent="0.3">
      <c r="A108" t="s">
        <v>33</v>
      </c>
      <c r="B108" t="s">
        <v>54</v>
      </c>
      <c r="C108">
        <v>4.078332863</v>
      </c>
      <c r="D108">
        <v>48</v>
      </c>
      <c r="E108">
        <v>65</v>
      </c>
      <c r="F108">
        <v>7823.4765600000001</v>
      </c>
      <c r="G108" t="s">
        <v>55</v>
      </c>
      <c r="H108">
        <v>11</v>
      </c>
      <c r="I108">
        <v>15</v>
      </c>
      <c r="J108">
        <v>58</v>
      </c>
      <c r="K108">
        <v>8</v>
      </c>
      <c r="L108" t="s">
        <v>43</v>
      </c>
      <c r="M108">
        <v>3.8807633030000002</v>
      </c>
      <c r="N108" t="s">
        <v>28</v>
      </c>
      <c r="O108" t="s">
        <v>45</v>
      </c>
      <c r="P108">
        <v>14</v>
      </c>
      <c r="Q108">
        <v>314</v>
      </c>
      <c r="R108">
        <v>24</v>
      </c>
      <c r="S108">
        <v>1.08506857</v>
      </c>
      <c r="T108" t="s">
        <v>30</v>
      </c>
      <c r="U108">
        <v>1.0009106189999999</v>
      </c>
      <c r="V108" t="s">
        <v>56</v>
      </c>
      <c r="W108" t="s">
        <v>48</v>
      </c>
      <c r="X108">
        <v>134.36909689999999</v>
      </c>
    </row>
    <row r="109" spans="1:24" x14ac:dyDescent="0.3">
      <c r="A109" t="s">
        <v>57</v>
      </c>
      <c r="B109" t="s">
        <v>58</v>
      </c>
      <c r="C109">
        <v>42.958384379999998</v>
      </c>
      <c r="D109">
        <v>59</v>
      </c>
      <c r="E109">
        <v>426</v>
      </c>
      <c r="F109">
        <v>8496.1038129999997</v>
      </c>
      <c r="G109" t="s">
        <v>35</v>
      </c>
      <c r="H109">
        <v>93</v>
      </c>
      <c r="I109">
        <v>17</v>
      </c>
      <c r="J109">
        <v>11</v>
      </c>
      <c r="K109">
        <v>1</v>
      </c>
      <c r="L109" t="s">
        <v>27</v>
      </c>
      <c r="M109">
        <v>2.3483387840000001</v>
      </c>
      <c r="N109" t="s">
        <v>52</v>
      </c>
      <c r="O109" t="s">
        <v>53</v>
      </c>
      <c r="P109">
        <v>22</v>
      </c>
      <c r="Q109">
        <v>564</v>
      </c>
      <c r="R109">
        <v>1</v>
      </c>
      <c r="S109">
        <v>99.466108599999998</v>
      </c>
      <c r="T109" t="s">
        <v>46</v>
      </c>
      <c r="U109">
        <v>0.39817718699999999</v>
      </c>
      <c r="V109" t="s">
        <v>31</v>
      </c>
      <c r="W109" t="s">
        <v>41</v>
      </c>
      <c r="X109">
        <v>802.0563118</v>
      </c>
    </row>
    <row r="110" spans="1:24" x14ac:dyDescent="0.3">
      <c r="A110" t="s">
        <v>57</v>
      </c>
      <c r="B110" t="s">
        <v>59</v>
      </c>
      <c r="C110">
        <v>68.717596749999998</v>
      </c>
      <c r="D110">
        <v>78</v>
      </c>
      <c r="E110">
        <v>150</v>
      </c>
      <c r="F110">
        <v>7517.3632109999999</v>
      </c>
      <c r="G110" t="s">
        <v>35</v>
      </c>
      <c r="H110">
        <v>5</v>
      </c>
      <c r="I110">
        <v>10</v>
      </c>
      <c r="J110">
        <v>15</v>
      </c>
      <c r="K110">
        <v>7</v>
      </c>
      <c r="L110" t="s">
        <v>43</v>
      </c>
      <c r="M110">
        <v>3.4047338570000001</v>
      </c>
      <c r="N110" t="s">
        <v>52</v>
      </c>
      <c r="O110" t="s">
        <v>29</v>
      </c>
      <c r="P110">
        <v>13</v>
      </c>
      <c r="Q110">
        <v>769</v>
      </c>
      <c r="R110">
        <v>8</v>
      </c>
      <c r="S110">
        <v>11.42302714</v>
      </c>
      <c r="T110" t="s">
        <v>30</v>
      </c>
      <c r="U110">
        <v>2.7098626910000001</v>
      </c>
      <c r="V110" t="s">
        <v>56</v>
      </c>
      <c r="W110" t="s">
        <v>32</v>
      </c>
      <c r="X110">
        <v>505.55713420000001</v>
      </c>
    </row>
    <row r="111" spans="1:24" x14ac:dyDescent="0.3">
      <c r="A111" t="s">
        <v>33</v>
      </c>
      <c r="B111" t="s">
        <v>60</v>
      </c>
      <c r="C111">
        <v>64.015732940000007</v>
      </c>
      <c r="D111">
        <v>35</v>
      </c>
      <c r="E111">
        <v>980</v>
      </c>
      <c r="F111">
        <v>4971.1459880000002</v>
      </c>
      <c r="G111" t="s">
        <v>38</v>
      </c>
      <c r="H111">
        <v>14</v>
      </c>
      <c r="I111">
        <v>27</v>
      </c>
      <c r="J111">
        <v>83</v>
      </c>
      <c r="K111">
        <v>1</v>
      </c>
      <c r="L111" t="s">
        <v>36</v>
      </c>
      <c r="M111">
        <v>7.166645291</v>
      </c>
      <c r="N111" t="s">
        <v>61</v>
      </c>
      <c r="O111" t="s">
        <v>62</v>
      </c>
      <c r="P111">
        <v>29</v>
      </c>
      <c r="Q111">
        <v>963</v>
      </c>
      <c r="R111">
        <v>23</v>
      </c>
      <c r="S111">
        <v>47.957601629999999</v>
      </c>
      <c r="T111" t="s">
        <v>30</v>
      </c>
      <c r="U111">
        <v>3.8446144790000001</v>
      </c>
      <c r="V111" t="s">
        <v>47</v>
      </c>
      <c r="W111" t="s">
        <v>32</v>
      </c>
      <c r="X111">
        <v>995.9294615</v>
      </c>
    </row>
    <row r="112" spans="1:24" x14ac:dyDescent="0.3">
      <c r="A112" t="s">
        <v>33</v>
      </c>
      <c r="B112" t="s">
        <v>63</v>
      </c>
      <c r="C112">
        <v>15.70779568</v>
      </c>
      <c r="D112">
        <v>11</v>
      </c>
      <c r="E112">
        <v>996</v>
      </c>
      <c r="F112">
        <v>2330.9658020000002</v>
      </c>
      <c r="G112" t="s">
        <v>26</v>
      </c>
      <c r="H112">
        <v>51</v>
      </c>
      <c r="I112">
        <v>13</v>
      </c>
      <c r="J112">
        <v>80</v>
      </c>
      <c r="K112">
        <v>2</v>
      </c>
      <c r="L112" t="s">
        <v>43</v>
      </c>
      <c r="M112">
        <v>8.6732112109999999</v>
      </c>
      <c r="N112" t="s">
        <v>44</v>
      </c>
      <c r="O112" t="s">
        <v>45</v>
      </c>
      <c r="P112">
        <v>18</v>
      </c>
      <c r="Q112">
        <v>830</v>
      </c>
      <c r="R112">
        <v>5</v>
      </c>
      <c r="S112">
        <v>96.527352789999995</v>
      </c>
      <c r="T112" t="s">
        <v>64</v>
      </c>
      <c r="U112">
        <v>1.7273139280000001</v>
      </c>
      <c r="V112" t="s">
        <v>31</v>
      </c>
      <c r="W112" t="s">
        <v>32</v>
      </c>
      <c r="X112">
        <v>806.10317769999995</v>
      </c>
    </row>
    <row r="113" spans="1:24" x14ac:dyDescent="0.3">
      <c r="A113" t="s">
        <v>33</v>
      </c>
      <c r="B113" t="s">
        <v>65</v>
      </c>
      <c r="C113">
        <v>90.635459979999993</v>
      </c>
      <c r="D113">
        <v>95</v>
      </c>
      <c r="E113">
        <v>960</v>
      </c>
      <c r="F113">
        <v>6099.9441159999997</v>
      </c>
      <c r="G113" t="s">
        <v>35</v>
      </c>
      <c r="H113">
        <v>46</v>
      </c>
      <c r="I113">
        <v>23</v>
      </c>
      <c r="J113">
        <v>60</v>
      </c>
      <c r="K113">
        <v>1</v>
      </c>
      <c r="L113" t="s">
        <v>36</v>
      </c>
      <c r="M113">
        <v>4.5239431239999996</v>
      </c>
      <c r="N113" t="s">
        <v>61</v>
      </c>
      <c r="O113" t="s">
        <v>45</v>
      </c>
      <c r="P113">
        <v>28</v>
      </c>
      <c r="Q113">
        <v>362</v>
      </c>
      <c r="R113">
        <v>11</v>
      </c>
      <c r="S113">
        <v>27.592363089999999</v>
      </c>
      <c r="T113" t="s">
        <v>30</v>
      </c>
      <c r="U113">
        <v>2.1169820999999998E-2</v>
      </c>
      <c r="V113" t="s">
        <v>40</v>
      </c>
      <c r="W113" t="s">
        <v>48</v>
      </c>
      <c r="X113">
        <v>126.72303340000001</v>
      </c>
    </row>
    <row r="114" spans="1:24" x14ac:dyDescent="0.3">
      <c r="A114" t="s">
        <v>24</v>
      </c>
      <c r="B114" t="s">
        <v>66</v>
      </c>
      <c r="C114">
        <v>71.213389079999999</v>
      </c>
      <c r="D114">
        <v>41</v>
      </c>
      <c r="E114">
        <v>336</v>
      </c>
      <c r="F114">
        <v>2873.741446</v>
      </c>
      <c r="G114" t="s">
        <v>38</v>
      </c>
      <c r="H114">
        <v>100</v>
      </c>
      <c r="I114">
        <v>30</v>
      </c>
      <c r="J114">
        <v>85</v>
      </c>
      <c r="K114">
        <v>4</v>
      </c>
      <c r="L114" t="s">
        <v>36</v>
      </c>
      <c r="M114">
        <v>1.32527401</v>
      </c>
      <c r="N114" t="s">
        <v>52</v>
      </c>
      <c r="O114" t="s">
        <v>45</v>
      </c>
      <c r="P114">
        <v>3</v>
      </c>
      <c r="Q114">
        <v>563</v>
      </c>
      <c r="R114">
        <v>3</v>
      </c>
      <c r="S114">
        <v>32.321286209999997</v>
      </c>
      <c r="T114" t="s">
        <v>46</v>
      </c>
      <c r="U114">
        <v>2.161253748</v>
      </c>
      <c r="V114" t="s">
        <v>31</v>
      </c>
      <c r="W114" t="s">
        <v>32</v>
      </c>
      <c r="X114">
        <v>402.96878909999998</v>
      </c>
    </row>
    <row r="115" spans="1:24" x14ac:dyDescent="0.3">
      <c r="A115" t="s">
        <v>33</v>
      </c>
      <c r="B115" t="s">
        <v>67</v>
      </c>
      <c r="C115">
        <v>16.160393320000001</v>
      </c>
      <c r="D115">
        <v>5</v>
      </c>
      <c r="E115">
        <v>249</v>
      </c>
      <c r="F115">
        <v>4052.7384160000001</v>
      </c>
      <c r="G115" t="s">
        <v>55</v>
      </c>
      <c r="H115">
        <v>80</v>
      </c>
      <c r="I115">
        <v>8</v>
      </c>
      <c r="J115">
        <v>48</v>
      </c>
      <c r="K115">
        <v>9</v>
      </c>
      <c r="L115" t="s">
        <v>36</v>
      </c>
      <c r="M115">
        <v>9.5372830610000001</v>
      </c>
      <c r="N115" t="s">
        <v>44</v>
      </c>
      <c r="O115" t="s">
        <v>53</v>
      </c>
      <c r="P115">
        <v>23</v>
      </c>
      <c r="Q115">
        <v>173</v>
      </c>
      <c r="R115">
        <v>10</v>
      </c>
      <c r="S115">
        <v>97.829050109999997</v>
      </c>
      <c r="T115" t="s">
        <v>30</v>
      </c>
      <c r="U115">
        <v>1.6310742300000001</v>
      </c>
      <c r="V115" t="s">
        <v>31</v>
      </c>
      <c r="W115" t="s">
        <v>32</v>
      </c>
      <c r="X115">
        <v>547.24100520000002</v>
      </c>
    </row>
    <row r="116" spans="1:24" x14ac:dyDescent="0.3">
      <c r="A116" t="s">
        <v>33</v>
      </c>
      <c r="B116" t="s">
        <v>68</v>
      </c>
      <c r="C116">
        <v>99.171328639999999</v>
      </c>
      <c r="D116">
        <v>26</v>
      </c>
      <c r="E116">
        <v>562</v>
      </c>
      <c r="F116">
        <v>8653.5709260000003</v>
      </c>
      <c r="G116" t="s">
        <v>26</v>
      </c>
      <c r="H116">
        <v>54</v>
      </c>
      <c r="I116">
        <v>29</v>
      </c>
      <c r="J116">
        <v>78</v>
      </c>
      <c r="K116">
        <v>5</v>
      </c>
      <c r="L116" t="s">
        <v>27</v>
      </c>
      <c r="M116">
        <v>2.039770189</v>
      </c>
      <c r="N116" t="s">
        <v>39</v>
      </c>
      <c r="O116" t="s">
        <v>45</v>
      </c>
      <c r="P116">
        <v>25</v>
      </c>
      <c r="Q116">
        <v>558</v>
      </c>
      <c r="R116">
        <v>14</v>
      </c>
      <c r="S116">
        <v>5.7914366299999998</v>
      </c>
      <c r="T116" t="s">
        <v>30</v>
      </c>
      <c r="U116">
        <v>0.100682852</v>
      </c>
      <c r="V116" t="s">
        <v>40</v>
      </c>
      <c r="W116" t="s">
        <v>32</v>
      </c>
      <c r="X116">
        <v>929.23528999999996</v>
      </c>
    </row>
    <row r="117" spans="1:24" x14ac:dyDescent="0.3">
      <c r="A117" t="s">
        <v>33</v>
      </c>
      <c r="B117" t="s">
        <v>69</v>
      </c>
      <c r="C117">
        <v>36.989244929999998</v>
      </c>
      <c r="D117">
        <v>94</v>
      </c>
      <c r="E117">
        <v>469</v>
      </c>
      <c r="F117">
        <v>5442.0867850000004</v>
      </c>
      <c r="G117" t="s">
        <v>26</v>
      </c>
      <c r="H117">
        <v>9</v>
      </c>
      <c r="I117">
        <v>8</v>
      </c>
      <c r="J117">
        <v>69</v>
      </c>
      <c r="K117">
        <v>7</v>
      </c>
      <c r="L117" t="s">
        <v>27</v>
      </c>
      <c r="M117">
        <v>2.4220397230000001</v>
      </c>
      <c r="N117" t="s">
        <v>39</v>
      </c>
      <c r="O117" t="s">
        <v>53</v>
      </c>
      <c r="P117">
        <v>14</v>
      </c>
      <c r="Q117">
        <v>580</v>
      </c>
      <c r="R117">
        <v>7</v>
      </c>
      <c r="S117">
        <v>97.121281749999994</v>
      </c>
      <c r="T117" t="s">
        <v>64</v>
      </c>
      <c r="U117">
        <v>2.2644057609999999</v>
      </c>
      <c r="V117" t="s">
        <v>56</v>
      </c>
      <c r="W117" t="s">
        <v>32</v>
      </c>
      <c r="X117">
        <v>127.8618</v>
      </c>
    </row>
    <row r="118" spans="1:24" x14ac:dyDescent="0.3">
      <c r="A118" t="s">
        <v>33</v>
      </c>
      <c r="B118" t="s">
        <v>70</v>
      </c>
      <c r="C118">
        <v>7.54717211</v>
      </c>
      <c r="D118">
        <v>74</v>
      </c>
      <c r="E118">
        <v>280</v>
      </c>
      <c r="F118">
        <v>6453.7979679999999</v>
      </c>
      <c r="G118" t="s">
        <v>35</v>
      </c>
      <c r="H118">
        <v>2</v>
      </c>
      <c r="I118">
        <v>5</v>
      </c>
      <c r="J118">
        <v>78</v>
      </c>
      <c r="K118">
        <v>1</v>
      </c>
      <c r="L118" t="s">
        <v>27</v>
      </c>
      <c r="M118">
        <v>4.1913245860000004</v>
      </c>
      <c r="N118" t="s">
        <v>39</v>
      </c>
      <c r="O118" t="s">
        <v>53</v>
      </c>
      <c r="P118">
        <v>3</v>
      </c>
      <c r="Q118">
        <v>399</v>
      </c>
      <c r="R118">
        <v>21</v>
      </c>
      <c r="S118">
        <v>77.106342499999997</v>
      </c>
      <c r="T118" t="s">
        <v>64</v>
      </c>
      <c r="U118">
        <v>1.0125630889999999</v>
      </c>
      <c r="V118" t="s">
        <v>40</v>
      </c>
      <c r="W118" t="s">
        <v>48</v>
      </c>
      <c r="X118">
        <v>865.52577980000001</v>
      </c>
    </row>
    <row r="119" spans="1:24" x14ac:dyDescent="0.3">
      <c r="A119" t="s">
        <v>57</v>
      </c>
      <c r="B119" t="s">
        <v>71</v>
      </c>
      <c r="C119">
        <v>81.46253437</v>
      </c>
      <c r="D119">
        <v>82</v>
      </c>
      <c r="E119">
        <v>126</v>
      </c>
      <c r="F119">
        <v>2629.3964350000001</v>
      </c>
      <c r="G119" t="s">
        <v>35</v>
      </c>
      <c r="H119">
        <v>45</v>
      </c>
      <c r="I119">
        <v>17</v>
      </c>
      <c r="J119">
        <v>85</v>
      </c>
      <c r="K119">
        <v>9</v>
      </c>
      <c r="L119" t="s">
        <v>43</v>
      </c>
      <c r="M119">
        <v>3.585418958</v>
      </c>
      <c r="N119" t="s">
        <v>39</v>
      </c>
      <c r="O119" t="s">
        <v>62</v>
      </c>
      <c r="P119">
        <v>7</v>
      </c>
      <c r="Q119">
        <v>453</v>
      </c>
      <c r="R119">
        <v>16</v>
      </c>
      <c r="S119">
        <v>47.67968037</v>
      </c>
      <c r="T119" t="s">
        <v>46</v>
      </c>
      <c r="U119">
        <v>0.102020755</v>
      </c>
      <c r="V119" t="s">
        <v>40</v>
      </c>
      <c r="W119" t="s">
        <v>41</v>
      </c>
      <c r="X119">
        <v>670.93439079999996</v>
      </c>
    </row>
    <row r="120" spans="1:24" x14ac:dyDescent="0.3">
      <c r="A120" t="s">
        <v>24</v>
      </c>
      <c r="B120" t="s">
        <v>72</v>
      </c>
      <c r="C120">
        <v>36.443627769999999</v>
      </c>
      <c r="D120">
        <v>23</v>
      </c>
      <c r="E120">
        <v>620</v>
      </c>
      <c r="F120">
        <v>9364.6735050000007</v>
      </c>
      <c r="G120" t="s">
        <v>38</v>
      </c>
      <c r="H120">
        <v>10</v>
      </c>
      <c r="I120">
        <v>10</v>
      </c>
      <c r="J120">
        <v>46</v>
      </c>
      <c r="K120">
        <v>8</v>
      </c>
      <c r="L120" t="s">
        <v>43</v>
      </c>
      <c r="M120">
        <v>4.3392247140000002</v>
      </c>
      <c r="N120" t="s">
        <v>61</v>
      </c>
      <c r="O120" t="s">
        <v>45</v>
      </c>
      <c r="P120">
        <v>18</v>
      </c>
      <c r="Q120">
        <v>374</v>
      </c>
      <c r="R120">
        <v>17</v>
      </c>
      <c r="S120">
        <v>27.107980850000001</v>
      </c>
      <c r="T120" t="s">
        <v>30</v>
      </c>
      <c r="U120">
        <v>2.231939111</v>
      </c>
      <c r="V120" t="s">
        <v>56</v>
      </c>
      <c r="W120" t="s">
        <v>48</v>
      </c>
      <c r="X120">
        <v>593.48025870000004</v>
      </c>
    </row>
    <row r="121" spans="1:24" x14ac:dyDescent="0.3">
      <c r="A121" t="s">
        <v>33</v>
      </c>
      <c r="B121" t="s">
        <v>73</v>
      </c>
      <c r="C121">
        <v>51.123870089999997</v>
      </c>
      <c r="D121">
        <v>100</v>
      </c>
      <c r="E121">
        <v>187</v>
      </c>
      <c r="F121">
        <v>2553.4955850000001</v>
      </c>
      <c r="G121" t="s">
        <v>38</v>
      </c>
      <c r="H121">
        <v>48</v>
      </c>
      <c r="I121">
        <v>11</v>
      </c>
      <c r="J121">
        <v>94</v>
      </c>
      <c r="K121">
        <v>3</v>
      </c>
      <c r="L121" t="s">
        <v>36</v>
      </c>
      <c r="M121">
        <v>4.7426358830000002</v>
      </c>
      <c r="N121" t="s">
        <v>52</v>
      </c>
      <c r="O121" t="s">
        <v>62</v>
      </c>
      <c r="P121">
        <v>20</v>
      </c>
      <c r="Q121">
        <v>694</v>
      </c>
      <c r="R121">
        <v>16</v>
      </c>
      <c r="S121">
        <v>82.373320590000006</v>
      </c>
      <c r="T121" t="s">
        <v>46</v>
      </c>
      <c r="U121">
        <v>3.6464508649999998</v>
      </c>
      <c r="V121" t="s">
        <v>31</v>
      </c>
      <c r="W121" t="s">
        <v>41</v>
      </c>
      <c r="X121">
        <v>477.30763109999998</v>
      </c>
    </row>
    <row r="122" spans="1:24" x14ac:dyDescent="0.3">
      <c r="A122" t="s">
        <v>33</v>
      </c>
      <c r="B122" t="s">
        <v>74</v>
      </c>
      <c r="C122">
        <v>96.341072440000005</v>
      </c>
      <c r="D122">
        <v>22</v>
      </c>
      <c r="E122">
        <v>320</v>
      </c>
      <c r="F122">
        <v>8128.0276970000004</v>
      </c>
      <c r="G122" t="s">
        <v>38</v>
      </c>
      <c r="H122">
        <v>27</v>
      </c>
      <c r="I122">
        <v>12</v>
      </c>
      <c r="J122">
        <v>68</v>
      </c>
      <c r="K122">
        <v>6</v>
      </c>
      <c r="L122" t="s">
        <v>36</v>
      </c>
      <c r="M122">
        <v>8.8783346509999994</v>
      </c>
      <c r="N122" t="s">
        <v>39</v>
      </c>
      <c r="O122" t="s">
        <v>62</v>
      </c>
      <c r="P122">
        <v>29</v>
      </c>
      <c r="Q122">
        <v>309</v>
      </c>
      <c r="R122">
        <v>6</v>
      </c>
      <c r="S122">
        <v>65.686259609999993</v>
      </c>
      <c r="T122" t="s">
        <v>64</v>
      </c>
      <c r="U122">
        <v>4.2314165739999998</v>
      </c>
      <c r="V122" t="s">
        <v>40</v>
      </c>
      <c r="W122" t="s">
        <v>32</v>
      </c>
      <c r="X122">
        <v>493.87121530000002</v>
      </c>
    </row>
    <row r="123" spans="1:24" x14ac:dyDescent="0.3">
      <c r="A123" t="s">
        <v>57</v>
      </c>
      <c r="B123" t="s">
        <v>75</v>
      </c>
      <c r="C123">
        <v>84.893868979999993</v>
      </c>
      <c r="D123">
        <v>60</v>
      </c>
      <c r="E123">
        <v>601</v>
      </c>
      <c r="F123">
        <v>7087.0526959999997</v>
      </c>
      <c r="G123" t="s">
        <v>38</v>
      </c>
      <c r="H123">
        <v>69</v>
      </c>
      <c r="I123">
        <v>25</v>
      </c>
      <c r="J123">
        <v>7</v>
      </c>
      <c r="K123">
        <v>6</v>
      </c>
      <c r="L123" t="s">
        <v>27</v>
      </c>
      <c r="M123">
        <v>6.0378837689999996</v>
      </c>
      <c r="N123" t="s">
        <v>44</v>
      </c>
      <c r="O123" t="s">
        <v>62</v>
      </c>
      <c r="P123">
        <v>19</v>
      </c>
      <c r="Q123">
        <v>791</v>
      </c>
      <c r="R123">
        <v>4</v>
      </c>
      <c r="S123">
        <v>61.735728950000002</v>
      </c>
      <c r="T123" t="s">
        <v>30</v>
      </c>
      <c r="U123">
        <v>1.8607568000000001E-2</v>
      </c>
      <c r="V123" t="s">
        <v>40</v>
      </c>
      <c r="W123" t="s">
        <v>41</v>
      </c>
      <c r="X123">
        <v>523.36091469999997</v>
      </c>
    </row>
    <row r="124" spans="1:24" x14ac:dyDescent="0.3">
      <c r="A124" t="s">
        <v>24</v>
      </c>
      <c r="B124" t="s">
        <v>76</v>
      </c>
      <c r="C124">
        <v>27.67978089</v>
      </c>
      <c r="D124">
        <v>55</v>
      </c>
      <c r="E124">
        <v>884</v>
      </c>
      <c r="F124">
        <v>2390.807867</v>
      </c>
      <c r="G124" t="s">
        <v>38</v>
      </c>
      <c r="H124">
        <v>71</v>
      </c>
      <c r="I124">
        <v>1</v>
      </c>
      <c r="J124">
        <v>63</v>
      </c>
      <c r="K124">
        <v>10</v>
      </c>
      <c r="L124" t="s">
        <v>36</v>
      </c>
      <c r="M124">
        <v>9.567648921</v>
      </c>
      <c r="N124" t="s">
        <v>52</v>
      </c>
      <c r="O124" t="s">
        <v>45</v>
      </c>
      <c r="P124">
        <v>22</v>
      </c>
      <c r="Q124">
        <v>780</v>
      </c>
      <c r="R124">
        <v>28</v>
      </c>
      <c r="S124">
        <v>50.120839609999997</v>
      </c>
      <c r="T124" t="s">
        <v>46</v>
      </c>
      <c r="U124">
        <v>2.5912754730000001</v>
      </c>
      <c r="V124" t="s">
        <v>47</v>
      </c>
      <c r="W124" t="s">
        <v>41</v>
      </c>
      <c r="X124">
        <v>205.5719958</v>
      </c>
    </row>
    <row r="125" spans="1:24" x14ac:dyDescent="0.3">
      <c r="A125" t="s">
        <v>57</v>
      </c>
      <c r="B125" t="s">
        <v>77</v>
      </c>
      <c r="C125">
        <v>4.3243411859999998</v>
      </c>
      <c r="D125">
        <v>30</v>
      </c>
      <c r="E125">
        <v>391</v>
      </c>
      <c r="F125">
        <v>8858.3675710000007</v>
      </c>
      <c r="G125" t="s">
        <v>38</v>
      </c>
      <c r="H125">
        <v>84</v>
      </c>
      <c r="I125">
        <v>5</v>
      </c>
      <c r="J125">
        <v>29</v>
      </c>
      <c r="K125">
        <v>7</v>
      </c>
      <c r="L125" t="s">
        <v>36</v>
      </c>
      <c r="M125">
        <v>2.9248576009999998</v>
      </c>
      <c r="N125" t="s">
        <v>44</v>
      </c>
      <c r="O125" t="s">
        <v>45</v>
      </c>
      <c r="P125">
        <v>11</v>
      </c>
      <c r="Q125">
        <v>568</v>
      </c>
      <c r="R125">
        <v>29</v>
      </c>
      <c r="S125">
        <v>98.60995724</v>
      </c>
      <c r="T125" t="s">
        <v>30</v>
      </c>
      <c r="U125">
        <v>1.3422915630000001</v>
      </c>
      <c r="V125" t="s">
        <v>47</v>
      </c>
      <c r="W125" t="s">
        <v>48</v>
      </c>
      <c r="X125">
        <v>196.32944610000001</v>
      </c>
    </row>
    <row r="126" spans="1:24" x14ac:dyDescent="0.3">
      <c r="A126" t="s">
        <v>24</v>
      </c>
      <c r="B126" t="s">
        <v>78</v>
      </c>
      <c r="C126">
        <v>4.1563083589999996</v>
      </c>
      <c r="D126">
        <v>32</v>
      </c>
      <c r="E126">
        <v>209</v>
      </c>
      <c r="F126">
        <v>9049.0778609999998</v>
      </c>
      <c r="G126" t="s">
        <v>55</v>
      </c>
      <c r="H126">
        <v>4</v>
      </c>
      <c r="I126">
        <v>26</v>
      </c>
      <c r="J126">
        <v>2</v>
      </c>
      <c r="K126">
        <v>8</v>
      </c>
      <c r="L126" t="s">
        <v>43</v>
      </c>
      <c r="M126">
        <v>9.7412916890000005</v>
      </c>
      <c r="N126" t="s">
        <v>61</v>
      </c>
      <c r="O126" t="s">
        <v>53</v>
      </c>
      <c r="P126">
        <v>28</v>
      </c>
      <c r="Q126">
        <v>447</v>
      </c>
      <c r="R126">
        <v>3</v>
      </c>
      <c r="S126">
        <v>40.382359700000002</v>
      </c>
      <c r="T126" t="s">
        <v>30</v>
      </c>
      <c r="U126">
        <v>3.6913102929999999</v>
      </c>
      <c r="V126" t="s">
        <v>40</v>
      </c>
      <c r="W126" t="s">
        <v>48</v>
      </c>
      <c r="X126">
        <v>758.72477260000005</v>
      </c>
    </row>
    <row r="127" spans="1:24" x14ac:dyDescent="0.3">
      <c r="A127" t="s">
        <v>24</v>
      </c>
      <c r="B127" t="s">
        <v>79</v>
      </c>
      <c r="C127">
        <v>39.629343990000002</v>
      </c>
      <c r="D127">
        <v>73</v>
      </c>
      <c r="E127">
        <v>142</v>
      </c>
      <c r="F127">
        <v>2174.7770540000001</v>
      </c>
      <c r="G127" t="s">
        <v>55</v>
      </c>
      <c r="H127">
        <v>82</v>
      </c>
      <c r="I127">
        <v>11</v>
      </c>
      <c r="J127">
        <v>52</v>
      </c>
      <c r="K127">
        <v>3</v>
      </c>
      <c r="L127" t="s">
        <v>43</v>
      </c>
      <c r="M127">
        <v>2.2310736809999998</v>
      </c>
      <c r="N127" t="s">
        <v>52</v>
      </c>
      <c r="O127" t="s">
        <v>45</v>
      </c>
      <c r="P127">
        <v>19</v>
      </c>
      <c r="Q127">
        <v>934</v>
      </c>
      <c r="R127">
        <v>23</v>
      </c>
      <c r="S127">
        <v>78.280383119999996</v>
      </c>
      <c r="T127" t="s">
        <v>30</v>
      </c>
      <c r="U127">
        <v>3.7972312170000002</v>
      </c>
      <c r="V127" t="s">
        <v>31</v>
      </c>
      <c r="W127" t="s">
        <v>32</v>
      </c>
      <c r="X127">
        <v>458.53594570000001</v>
      </c>
    </row>
    <row r="128" spans="1:24" x14ac:dyDescent="0.3">
      <c r="A128" t="s">
        <v>24</v>
      </c>
      <c r="B128" t="s">
        <v>80</v>
      </c>
      <c r="C128">
        <v>97.446946620000006</v>
      </c>
      <c r="D128">
        <v>9</v>
      </c>
      <c r="E128">
        <v>353</v>
      </c>
      <c r="F128">
        <v>3716.4933259999998</v>
      </c>
      <c r="G128" t="s">
        <v>55</v>
      </c>
      <c r="H128">
        <v>59</v>
      </c>
      <c r="I128">
        <v>16</v>
      </c>
      <c r="J128">
        <v>48</v>
      </c>
      <c r="K128">
        <v>4</v>
      </c>
      <c r="L128" t="s">
        <v>27</v>
      </c>
      <c r="M128">
        <v>6.5075486209999998</v>
      </c>
      <c r="N128" t="s">
        <v>61</v>
      </c>
      <c r="O128" t="s">
        <v>53</v>
      </c>
      <c r="P128">
        <v>26</v>
      </c>
      <c r="Q128">
        <v>171</v>
      </c>
      <c r="R128">
        <v>4</v>
      </c>
      <c r="S128">
        <v>15.972229759999999</v>
      </c>
      <c r="T128" t="s">
        <v>64</v>
      </c>
      <c r="U128">
        <v>2.1193197370000001</v>
      </c>
      <c r="V128" t="s">
        <v>47</v>
      </c>
      <c r="W128" t="s">
        <v>48</v>
      </c>
      <c r="X128">
        <v>617.8669165</v>
      </c>
    </row>
    <row r="129" spans="1:24" x14ac:dyDescent="0.3">
      <c r="A129" t="s">
        <v>57</v>
      </c>
      <c r="B129" t="s">
        <v>81</v>
      </c>
      <c r="C129">
        <v>92.557360810000006</v>
      </c>
      <c r="D129">
        <v>42</v>
      </c>
      <c r="E129">
        <v>352</v>
      </c>
      <c r="F129">
        <v>2686.4572240000002</v>
      </c>
      <c r="G129" t="s">
        <v>38</v>
      </c>
      <c r="H129">
        <v>47</v>
      </c>
      <c r="I129">
        <v>9</v>
      </c>
      <c r="J129">
        <v>62</v>
      </c>
      <c r="K129">
        <v>8</v>
      </c>
      <c r="L129" t="s">
        <v>43</v>
      </c>
      <c r="M129">
        <v>7.4067509530000004</v>
      </c>
      <c r="N129" t="s">
        <v>44</v>
      </c>
      <c r="O129" t="s">
        <v>29</v>
      </c>
      <c r="P129">
        <v>25</v>
      </c>
      <c r="Q129">
        <v>291</v>
      </c>
      <c r="R129">
        <v>4</v>
      </c>
      <c r="S129">
        <v>10.528245070000001</v>
      </c>
      <c r="T129" t="s">
        <v>46</v>
      </c>
      <c r="U129">
        <v>2.8646678379999999</v>
      </c>
      <c r="V129" t="s">
        <v>56</v>
      </c>
      <c r="W129" t="s">
        <v>32</v>
      </c>
      <c r="X129">
        <v>762.45918219999999</v>
      </c>
    </row>
    <row r="130" spans="1:24" x14ac:dyDescent="0.3">
      <c r="A130" t="s">
        <v>57</v>
      </c>
      <c r="B130" t="s">
        <v>82</v>
      </c>
      <c r="C130">
        <v>2.3972747060000001</v>
      </c>
      <c r="D130">
        <v>12</v>
      </c>
      <c r="E130">
        <v>394</v>
      </c>
      <c r="F130">
        <v>6117.3246150000004</v>
      </c>
      <c r="G130" t="s">
        <v>35</v>
      </c>
      <c r="H130">
        <v>48</v>
      </c>
      <c r="I130">
        <v>15</v>
      </c>
      <c r="J130">
        <v>24</v>
      </c>
      <c r="K130">
        <v>4</v>
      </c>
      <c r="L130" t="s">
        <v>27</v>
      </c>
      <c r="M130">
        <v>9.8981405079999991</v>
      </c>
      <c r="N130" t="s">
        <v>39</v>
      </c>
      <c r="O130" t="s">
        <v>29</v>
      </c>
      <c r="P130">
        <v>13</v>
      </c>
      <c r="Q130">
        <v>171</v>
      </c>
      <c r="R130">
        <v>7</v>
      </c>
      <c r="S130">
        <v>59.429381810000002</v>
      </c>
      <c r="T130" t="s">
        <v>46</v>
      </c>
      <c r="U130">
        <v>0.81575707900000005</v>
      </c>
      <c r="V130" t="s">
        <v>40</v>
      </c>
      <c r="W130" t="s">
        <v>48</v>
      </c>
      <c r="X130">
        <v>123.4370275</v>
      </c>
    </row>
    <row r="131" spans="1:24" x14ac:dyDescent="0.3">
      <c r="A131" t="s">
        <v>57</v>
      </c>
      <c r="B131" t="s">
        <v>83</v>
      </c>
      <c r="C131">
        <v>63.44755919</v>
      </c>
      <c r="D131">
        <v>3</v>
      </c>
      <c r="E131">
        <v>253</v>
      </c>
      <c r="F131">
        <v>8318.9031950000008</v>
      </c>
      <c r="G131" t="s">
        <v>35</v>
      </c>
      <c r="H131">
        <v>45</v>
      </c>
      <c r="I131">
        <v>5</v>
      </c>
      <c r="J131">
        <v>67</v>
      </c>
      <c r="K131">
        <v>7</v>
      </c>
      <c r="L131" t="s">
        <v>27</v>
      </c>
      <c r="M131">
        <v>8.1009731449999993</v>
      </c>
      <c r="N131" t="s">
        <v>39</v>
      </c>
      <c r="O131" t="s">
        <v>45</v>
      </c>
      <c r="P131">
        <v>16</v>
      </c>
      <c r="Q131">
        <v>329</v>
      </c>
      <c r="R131">
        <v>7</v>
      </c>
      <c r="S131">
        <v>39.292875590000001</v>
      </c>
      <c r="T131" t="s">
        <v>64</v>
      </c>
      <c r="U131">
        <v>3.8780989369999999</v>
      </c>
      <c r="V131" t="s">
        <v>31</v>
      </c>
      <c r="W131" t="s">
        <v>32</v>
      </c>
      <c r="X131">
        <v>764.93537590000005</v>
      </c>
    </row>
    <row r="132" spans="1:24" x14ac:dyDescent="0.3">
      <c r="A132" t="s">
        <v>24</v>
      </c>
      <c r="B132" t="s">
        <v>84</v>
      </c>
      <c r="C132">
        <v>8.0228592110000001</v>
      </c>
      <c r="D132">
        <v>10</v>
      </c>
      <c r="E132">
        <v>327</v>
      </c>
      <c r="F132">
        <v>2766.3423670000002</v>
      </c>
      <c r="G132" t="s">
        <v>55</v>
      </c>
      <c r="H132">
        <v>60</v>
      </c>
      <c r="I132">
        <v>26</v>
      </c>
      <c r="J132">
        <v>35</v>
      </c>
      <c r="K132">
        <v>7</v>
      </c>
      <c r="L132" t="s">
        <v>27</v>
      </c>
      <c r="M132">
        <v>8.9545283149999992</v>
      </c>
      <c r="N132" t="s">
        <v>52</v>
      </c>
      <c r="O132" t="s">
        <v>45</v>
      </c>
      <c r="P132">
        <v>27</v>
      </c>
      <c r="Q132">
        <v>806</v>
      </c>
      <c r="R132">
        <v>30</v>
      </c>
      <c r="S132">
        <v>51.634893400000003</v>
      </c>
      <c r="T132" t="s">
        <v>30</v>
      </c>
      <c r="U132">
        <v>0.96539470500000002</v>
      </c>
      <c r="V132" t="s">
        <v>31</v>
      </c>
      <c r="W132" t="s">
        <v>41</v>
      </c>
      <c r="X132">
        <v>880.08098819999998</v>
      </c>
    </row>
    <row r="133" spans="1:24" x14ac:dyDescent="0.3">
      <c r="A133" t="s">
        <v>33</v>
      </c>
      <c r="B133" t="s">
        <v>85</v>
      </c>
      <c r="C133">
        <v>50.847393050000001</v>
      </c>
      <c r="D133">
        <v>28</v>
      </c>
      <c r="E133">
        <v>168</v>
      </c>
      <c r="F133">
        <v>9655.1351030000005</v>
      </c>
      <c r="G133" t="s">
        <v>55</v>
      </c>
      <c r="H133">
        <v>6</v>
      </c>
      <c r="I133">
        <v>17</v>
      </c>
      <c r="J133">
        <v>44</v>
      </c>
      <c r="K133">
        <v>4</v>
      </c>
      <c r="L133" t="s">
        <v>27</v>
      </c>
      <c r="M133">
        <v>2.6796609650000001</v>
      </c>
      <c r="N133" t="s">
        <v>28</v>
      </c>
      <c r="O133" t="s">
        <v>62</v>
      </c>
      <c r="P133">
        <v>24</v>
      </c>
      <c r="Q133">
        <v>461</v>
      </c>
      <c r="R133">
        <v>8</v>
      </c>
      <c r="S133">
        <v>60.251145659999999</v>
      </c>
      <c r="T133" t="s">
        <v>30</v>
      </c>
      <c r="U133">
        <v>2.989000007</v>
      </c>
      <c r="V133" t="s">
        <v>47</v>
      </c>
      <c r="W133" t="s">
        <v>41</v>
      </c>
      <c r="X133">
        <v>609.37920659999997</v>
      </c>
    </row>
    <row r="134" spans="1:24" x14ac:dyDescent="0.3">
      <c r="A134" t="s">
        <v>33</v>
      </c>
      <c r="B134" t="s">
        <v>86</v>
      </c>
      <c r="C134">
        <v>79.209936020000001</v>
      </c>
      <c r="D134">
        <v>43</v>
      </c>
      <c r="E134">
        <v>781</v>
      </c>
      <c r="F134">
        <v>9571.5504870000004</v>
      </c>
      <c r="G134" t="s">
        <v>38</v>
      </c>
      <c r="H134">
        <v>89</v>
      </c>
      <c r="I134">
        <v>13</v>
      </c>
      <c r="J134">
        <v>64</v>
      </c>
      <c r="K134">
        <v>4</v>
      </c>
      <c r="L134" t="s">
        <v>43</v>
      </c>
      <c r="M134">
        <v>6.5991049009999996</v>
      </c>
      <c r="N134" t="s">
        <v>28</v>
      </c>
      <c r="O134" t="s">
        <v>45</v>
      </c>
      <c r="P134">
        <v>30</v>
      </c>
      <c r="Q134">
        <v>737</v>
      </c>
      <c r="R134">
        <v>7</v>
      </c>
      <c r="S134">
        <v>29.692467149999999</v>
      </c>
      <c r="T134" t="s">
        <v>64</v>
      </c>
      <c r="U134">
        <v>1.946036119</v>
      </c>
      <c r="V134" t="s">
        <v>31</v>
      </c>
      <c r="W134" t="s">
        <v>48</v>
      </c>
      <c r="X134">
        <v>761.17390950000004</v>
      </c>
    </row>
    <row r="135" spans="1:24" x14ac:dyDescent="0.3">
      <c r="A135" t="s">
        <v>57</v>
      </c>
      <c r="B135" t="s">
        <v>87</v>
      </c>
      <c r="C135">
        <v>64.795434999999998</v>
      </c>
      <c r="D135">
        <v>63</v>
      </c>
      <c r="E135">
        <v>616</v>
      </c>
      <c r="F135">
        <v>5149.9983499999998</v>
      </c>
      <c r="G135" t="s">
        <v>26</v>
      </c>
      <c r="H135">
        <v>4</v>
      </c>
      <c r="I135">
        <v>17</v>
      </c>
      <c r="J135">
        <v>95</v>
      </c>
      <c r="K135">
        <v>9</v>
      </c>
      <c r="L135" t="s">
        <v>43</v>
      </c>
      <c r="M135">
        <v>4.858270503</v>
      </c>
      <c r="N135" t="s">
        <v>44</v>
      </c>
      <c r="O135" t="s">
        <v>62</v>
      </c>
      <c r="P135">
        <v>1</v>
      </c>
      <c r="Q135">
        <v>251</v>
      </c>
      <c r="R135">
        <v>23</v>
      </c>
      <c r="S135">
        <v>23.85342751</v>
      </c>
      <c r="T135" t="s">
        <v>46</v>
      </c>
      <c r="U135">
        <v>3.5410460119999998</v>
      </c>
      <c r="V135" t="s">
        <v>56</v>
      </c>
      <c r="W135" t="s">
        <v>48</v>
      </c>
      <c r="X135">
        <v>371.25529549999999</v>
      </c>
    </row>
    <row r="136" spans="1:24" x14ac:dyDescent="0.3">
      <c r="A136" t="s">
        <v>33</v>
      </c>
      <c r="B136" t="s">
        <v>88</v>
      </c>
      <c r="C136">
        <v>37.467592330000002</v>
      </c>
      <c r="D136">
        <v>96</v>
      </c>
      <c r="E136">
        <v>602</v>
      </c>
      <c r="F136">
        <v>9061.7108960000005</v>
      </c>
      <c r="G136" t="s">
        <v>38</v>
      </c>
      <c r="H136">
        <v>1</v>
      </c>
      <c r="I136">
        <v>26</v>
      </c>
      <c r="J136">
        <v>21</v>
      </c>
      <c r="K136">
        <v>7</v>
      </c>
      <c r="L136" t="s">
        <v>36</v>
      </c>
      <c r="M136">
        <v>1.019487571</v>
      </c>
      <c r="N136" t="s">
        <v>39</v>
      </c>
      <c r="O136" t="s">
        <v>62</v>
      </c>
      <c r="P136">
        <v>4</v>
      </c>
      <c r="Q136">
        <v>452</v>
      </c>
      <c r="R136">
        <v>10</v>
      </c>
      <c r="S136">
        <v>10.754272820000001</v>
      </c>
      <c r="T136" t="s">
        <v>64</v>
      </c>
      <c r="U136">
        <v>0.64660455900000002</v>
      </c>
      <c r="V136" t="s">
        <v>31</v>
      </c>
      <c r="W136" t="s">
        <v>32</v>
      </c>
      <c r="X136">
        <v>510.35800039999998</v>
      </c>
    </row>
    <row r="137" spans="1:24" x14ac:dyDescent="0.3">
      <c r="A137" t="s">
        <v>57</v>
      </c>
      <c r="B137" t="s">
        <v>89</v>
      </c>
      <c r="C137">
        <v>84.957786819999995</v>
      </c>
      <c r="D137">
        <v>11</v>
      </c>
      <c r="E137">
        <v>449</v>
      </c>
      <c r="F137">
        <v>6541.3293450000001</v>
      </c>
      <c r="G137" t="s">
        <v>35</v>
      </c>
      <c r="H137">
        <v>42</v>
      </c>
      <c r="I137">
        <v>27</v>
      </c>
      <c r="J137">
        <v>85</v>
      </c>
      <c r="K137">
        <v>8</v>
      </c>
      <c r="L137" t="s">
        <v>43</v>
      </c>
      <c r="M137">
        <v>5.2881899900000002</v>
      </c>
      <c r="N137" t="s">
        <v>39</v>
      </c>
      <c r="O137" t="s">
        <v>50</v>
      </c>
      <c r="P137">
        <v>3</v>
      </c>
      <c r="Q137">
        <v>367</v>
      </c>
      <c r="R137">
        <v>2</v>
      </c>
      <c r="S137">
        <v>58.004787039999997</v>
      </c>
      <c r="T137" t="s">
        <v>64</v>
      </c>
      <c r="U137">
        <v>0.54115409800000003</v>
      </c>
      <c r="V137" t="s">
        <v>56</v>
      </c>
      <c r="W137" t="s">
        <v>41</v>
      </c>
      <c r="X137">
        <v>553.42047119999995</v>
      </c>
    </row>
    <row r="138" spans="1:24" x14ac:dyDescent="0.3">
      <c r="A138" t="s">
        <v>33</v>
      </c>
      <c r="B138" t="s">
        <v>90</v>
      </c>
      <c r="C138">
        <v>9.8130025790000008</v>
      </c>
      <c r="D138">
        <v>34</v>
      </c>
      <c r="E138">
        <v>963</v>
      </c>
      <c r="F138">
        <v>7573.4024579999996</v>
      </c>
      <c r="G138" t="s">
        <v>35</v>
      </c>
      <c r="H138">
        <v>18</v>
      </c>
      <c r="I138">
        <v>23</v>
      </c>
      <c r="J138">
        <v>28</v>
      </c>
      <c r="K138">
        <v>3</v>
      </c>
      <c r="L138" t="s">
        <v>27</v>
      </c>
      <c r="M138">
        <v>2.1079512669999998</v>
      </c>
      <c r="N138" t="s">
        <v>61</v>
      </c>
      <c r="O138" t="s">
        <v>50</v>
      </c>
      <c r="P138">
        <v>26</v>
      </c>
      <c r="Q138">
        <v>671</v>
      </c>
      <c r="R138">
        <v>19</v>
      </c>
      <c r="S138">
        <v>45.531364240000002</v>
      </c>
      <c r="T138" t="s">
        <v>46</v>
      </c>
      <c r="U138">
        <v>3.8055333789999999</v>
      </c>
      <c r="V138" t="s">
        <v>40</v>
      </c>
      <c r="W138" t="s">
        <v>41</v>
      </c>
      <c r="X138">
        <v>403.80897420000002</v>
      </c>
    </row>
    <row r="139" spans="1:24" x14ac:dyDescent="0.3">
      <c r="A139" t="s">
        <v>33</v>
      </c>
      <c r="B139" t="s">
        <v>91</v>
      </c>
      <c r="C139">
        <v>23.39984475</v>
      </c>
      <c r="D139">
        <v>5</v>
      </c>
      <c r="E139">
        <v>963</v>
      </c>
      <c r="F139">
        <v>2438.3399300000001</v>
      </c>
      <c r="G139" t="s">
        <v>35</v>
      </c>
      <c r="H139">
        <v>25</v>
      </c>
      <c r="I139">
        <v>8</v>
      </c>
      <c r="J139">
        <v>21</v>
      </c>
      <c r="K139">
        <v>9</v>
      </c>
      <c r="L139" t="s">
        <v>36</v>
      </c>
      <c r="M139">
        <v>1.5326552739999999</v>
      </c>
      <c r="N139" t="s">
        <v>28</v>
      </c>
      <c r="O139" t="s">
        <v>45</v>
      </c>
      <c r="P139">
        <v>24</v>
      </c>
      <c r="Q139">
        <v>867</v>
      </c>
      <c r="R139">
        <v>15</v>
      </c>
      <c r="S139">
        <v>34.343277469999997</v>
      </c>
      <c r="T139" t="s">
        <v>30</v>
      </c>
      <c r="U139">
        <v>2.6102880850000001</v>
      </c>
      <c r="V139" t="s">
        <v>56</v>
      </c>
      <c r="W139" t="s">
        <v>48</v>
      </c>
      <c r="X139">
        <v>183.93296799999999</v>
      </c>
    </row>
    <row r="140" spans="1:24" x14ac:dyDescent="0.3">
      <c r="A140" t="s">
        <v>57</v>
      </c>
      <c r="B140" t="s">
        <v>92</v>
      </c>
      <c r="C140">
        <v>52.075930679999999</v>
      </c>
      <c r="D140">
        <v>75</v>
      </c>
      <c r="E140">
        <v>705</v>
      </c>
      <c r="F140">
        <v>9692.3180400000001</v>
      </c>
      <c r="G140" t="s">
        <v>26</v>
      </c>
      <c r="H140">
        <v>69</v>
      </c>
      <c r="I140">
        <v>1</v>
      </c>
      <c r="J140">
        <v>88</v>
      </c>
      <c r="K140">
        <v>5</v>
      </c>
      <c r="L140" t="s">
        <v>27</v>
      </c>
      <c r="M140">
        <v>9.2359314369999996</v>
      </c>
      <c r="N140" t="s">
        <v>44</v>
      </c>
      <c r="O140" t="s">
        <v>29</v>
      </c>
      <c r="P140">
        <v>10</v>
      </c>
      <c r="Q140">
        <v>841</v>
      </c>
      <c r="R140">
        <v>12</v>
      </c>
      <c r="S140">
        <v>5.9306936459999999</v>
      </c>
      <c r="T140" t="s">
        <v>30</v>
      </c>
      <c r="U140">
        <v>0.61332689900000004</v>
      </c>
      <c r="V140" t="s">
        <v>40</v>
      </c>
      <c r="W140" t="s">
        <v>32</v>
      </c>
      <c r="X140">
        <v>339.67286990000002</v>
      </c>
    </row>
    <row r="141" spans="1:24" x14ac:dyDescent="0.3">
      <c r="A141" t="s">
        <v>33</v>
      </c>
      <c r="B141" t="s">
        <v>93</v>
      </c>
      <c r="C141">
        <v>19.12747727</v>
      </c>
      <c r="D141">
        <v>26</v>
      </c>
      <c r="E141">
        <v>176</v>
      </c>
      <c r="F141">
        <v>1912.4656629999999</v>
      </c>
      <c r="G141" t="s">
        <v>35</v>
      </c>
      <c r="H141">
        <v>78</v>
      </c>
      <c r="I141">
        <v>29</v>
      </c>
      <c r="J141">
        <v>34</v>
      </c>
      <c r="K141">
        <v>3</v>
      </c>
      <c r="L141" t="s">
        <v>36</v>
      </c>
      <c r="M141">
        <v>5.562503779</v>
      </c>
      <c r="N141" t="s">
        <v>61</v>
      </c>
      <c r="O141" t="s">
        <v>45</v>
      </c>
      <c r="P141">
        <v>30</v>
      </c>
      <c r="Q141">
        <v>791</v>
      </c>
      <c r="R141">
        <v>6</v>
      </c>
      <c r="S141">
        <v>9.0058074290000008</v>
      </c>
      <c r="T141" t="s">
        <v>46</v>
      </c>
      <c r="U141">
        <v>1.451972204</v>
      </c>
      <c r="V141" t="s">
        <v>40</v>
      </c>
      <c r="W141" t="s">
        <v>32</v>
      </c>
      <c r="X141">
        <v>653.67299460000004</v>
      </c>
    </row>
    <row r="142" spans="1:24" x14ac:dyDescent="0.3">
      <c r="A142" t="s">
        <v>33</v>
      </c>
      <c r="B142" t="s">
        <v>94</v>
      </c>
      <c r="C142">
        <v>80.541424169999999</v>
      </c>
      <c r="D142">
        <v>97</v>
      </c>
      <c r="E142">
        <v>933</v>
      </c>
      <c r="F142">
        <v>5724.9593500000001</v>
      </c>
      <c r="G142" t="s">
        <v>35</v>
      </c>
      <c r="H142">
        <v>90</v>
      </c>
      <c r="I142">
        <v>20</v>
      </c>
      <c r="J142">
        <v>39</v>
      </c>
      <c r="K142">
        <v>8</v>
      </c>
      <c r="L142" t="s">
        <v>43</v>
      </c>
      <c r="M142">
        <v>7.2295951399999998</v>
      </c>
      <c r="N142" t="s">
        <v>39</v>
      </c>
      <c r="O142" t="s">
        <v>45</v>
      </c>
      <c r="P142">
        <v>18</v>
      </c>
      <c r="Q142">
        <v>793</v>
      </c>
      <c r="R142">
        <v>1</v>
      </c>
      <c r="S142">
        <v>88.179407100000006</v>
      </c>
      <c r="T142" t="s">
        <v>30</v>
      </c>
      <c r="U142">
        <v>4.2132694309999996</v>
      </c>
      <c r="V142" t="s">
        <v>31</v>
      </c>
      <c r="W142" t="s">
        <v>48</v>
      </c>
      <c r="X142">
        <v>529.80872399999998</v>
      </c>
    </row>
    <row r="143" spans="1:24" x14ac:dyDescent="0.3">
      <c r="A143" t="s">
        <v>33</v>
      </c>
      <c r="B143" t="s">
        <v>95</v>
      </c>
      <c r="C143">
        <v>99.113291619999998</v>
      </c>
      <c r="D143">
        <v>35</v>
      </c>
      <c r="E143">
        <v>556</v>
      </c>
      <c r="F143">
        <v>5521.2052590000003</v>
      </c>
      <c r="G143" t="s">
        <v>35</v>
      </c>
      <c r="H143">
        <v>64</v>
      </c>
      <c r="I143">
        <v>19</v>
      </c>
      <c r="J143">
        <v>38</v>
      </c>
      <c r="K143">
        <v>8</v>
      </c>
      <c r="L143" t="s">
        <v>27</v>
      </c>
      <c r="M143">
        <v>5.7732637440000003</v>
      </c>
      <c r="N143" t="s">
        <v>52</v>
      </c>
      <c r="O143" t="s">
        <v>62</v>
      </c>
      <c r="P143">
        <v>18</v>
      </c>
      <c r="Q143">
        <v>892</v>
      </c>
      <c r="R143">
        <v>7</v>
      </c>
      <c r="S143">
        <v>95.332064549999998</v>
      </c>
      <c r="T143" t="s">
        <v>46</v>
      </c>
      <c r="U143">
        <v>4.5302262000000003E-2</v>
      </c>
      <c r="V143" t="s">
        <v>56</v>
      </c>
      <c r="W143" t="s">
        <v>48</v>
      </c>
      <c r="X143">
        <v>275.5243711</v>
      </c>
    </row>
    <row r="144" spans="1:24" x14ac:dyDescent="0.3">
      <c r="A144" t="s">
        <v>33</v>
      </c>
      <c r="B144" t="s">
        <v>96</v>
      </c>
      <c r="C144">
        <v>46.529167610000002</v>
      </c>
      <c r="D144">
        <v>98</v>
      </c>
      <c r="E144">
        <v>155</v>
      </c>
      <c r="F144">
        <v>1839.609426</v>
      </c>
      <c r="G144" t="s">
        <v>35</v>
      </c>
      <c r="H144">
        <v>22</v>
      </c>
      <c r="I144">
        <v>27</v>
      </c>
      <c r="J144">
        <v>57</v>
      </c>
      <c r="K144">
        <v>4</v>
      </c>
      <c r="L144" t="s">
        <v>43</v>
      </c>
      <c r="M144">
        <v>7.5262483270000002</v>
      </c>
      <c r="N144" t="s">
        <v>44</v>
      </c>
      <c r="O144" t="s">
        <v>53</v>
      </c>
      <c r="P144">
        <v>26</v>
      </c>
      <c r="Q144">
        <v>179</v>
      </c>
      <c r="R144">
        <v>7</v>
      </c>
      <c r="S144">
        <v>96.422820639999998</v>
      </c>
      <c r="T144" t="s">
        <v>46</v>
      </c>
      <c r="U144">
        <v>4.9392552890000001</v>
      </c>
      <c r="V144" t="s">
        <v>31</v>
      </c>
      <c r="W144" t="s">
        <v>48</v>
      </c>
      <c r="X144">
        <v>635.65712050000002</v>
      </c>
    </row>
    <row r="145" spans="1:24" x14ac:dyDescent="0.3">
      <c r="A145" t="s">
        <v>24</v>
      </c>
      <c r="B145" t="s">
        <v>97</v>
      </c>
      <c r="C145">
        <v>11.743271780000001</v>
      </c>
      <c r="D145">
        <v>6</v>
      </c>
      <c r="E145">
        <v>598</v>
      </c>
      <c r="F145">
        <v>5737.4255990000001</v>
      </c>
      <c r="G145" t="s">
        <v>38</v>
      </c>
      <c r="H145">
        <v>36</v>
      </c>
      <c r="I145">
        <v>29</v>
      </c>
      <c r="J145">
        <v>85</v>
      </c>
      <c r="K145">
        <v>9</v>
      </c>
      <c r="L145" t="s">
        <v>27</v>
      </c>
      <c r="M145">
        <v>3.6940212680000002</v>
      </c>
      <c r="N145" t="s">
        <v>44</v>
      </c>
      <c r="O145" t="s">
        <v>29</v>
      </c>
      <c r="P145">
        <v>1</v>
      </c>
      <c r="Q145">
        <v>206</v>
      </c>
      <c r="R145">
        <v>23</v>
      </c>
      <c r="S145">
        <v>26.277365960000001</v>
      </c>
      <c r="T145" t="s">
        <v>30</v>
      </c>
      <c r="U145">
        <v>0.37230476800000001</v>
      </c>
      <c r="V145" t="s">
        <v>40</v>
      </c>
      <c r="W145" t="s">
        <v>48</v>
      </c>
      <c r="X145">
        <v>716.04411979999998</v>
      </c>
    </row>
    <row r="146" spans="1:24" x14ac:dyDescent="0.3">
      <c r="A146" t="s">
        <v>57</v>
      </c>
      <c r="B146" t="s">
        <v>98</v>
      </c>
      <c r="C146">
        <v>51.355790910000003</v>
      </c>
      <c r="D146">
        <v>34</v>
      </c>
      <c r="E146">
        <v>919</v>
      </c>
      <c r="F146">
        <v>7152.2860490000003</v>
      </c>
      <c r="G146" t="s">
        <v>35</v>
      </c>
      <c r="H146">
        <v>13</v>
      </c>
      <c r="I146">
        <v>19</v>
      </c>
      <c r="J146">
        <v>72</v>
      </c>
      <c r="K146">
        <v>6</v>
      </c>
      <c r="L146" t="s">
        <v>43</v>
      </c>
      <c r="M146">
        <v>7.5774496569999998</v>
      </c>
      <c r="N146" t="s">
        <v>61</v>
      </c>
      <c r="O146" t="s">
        <v>50</v>
      </c>
      <c r="P146">
        <v>7</v>
      </c>
      <c r="Q146">
        <v>834</v>
      </c>
      <c r="R146">
        <v>18</v>
      </c>
      <c r="S146">
        <v>22.554106619999999</v>
      </c>
      <c r="T146" t="s">
        <v>46</v>
      </c>
      <c r="U146">
        <v>2.96262632</v>
      </c>
      <c r="V146" t="s">
        <v>47</v>
      </c>
      <c r="W146" t="s">
        <v>48</v>
      </c>
      <c r="X146">
        <v>610.4532696</v>
      </c>
    </row>
    <row r="147" spans="1:24" x14ac:dyDescent="0.3">
      <c r="A147" t="s">
        <v>24</v>
      </c>
      <c r="B147" t="s">
        <v>99</v>
      </c>
      <c r="C147">
        <v>33.784138030000001</v>
      </c>
      <c r="D147">
        <v>1</v>
      </c>
      <c r="E147">
        <v>24</v>
      </c>
      <c r="F147">
        <v>5267.9568079999999</v>
      </c>
      <c r="G147" t="s">
        <v>55</v>
      </c>
      <c r="H147">
        <v>93</v>
      </c>
      <c r="I147">
        <v>7</v>
      </c>
      <c r="J147">
        <v>52</v>
      </c>
      <c r="K147">
        <v>6</v>
      </c>
      <c r="L147" t="s">
        <v>27</v>
      </c>
      <c r="M147">
        <v>5.2151550090000001</v>
      </c>
      <c r="N147" t="s">
        <v>61</v>
      </c>
      <c r="O147" t="s">
        <v>62</v>
      </c>
      <c r="P147">
        <v>25</v>
      </c>
      <c r="Q147">
        <v>794</v>
      </c>
      <c r="R147">
        <v>25</v>
      </c>
      <c r="S147">
        <v>66.312544439999996</v>
      </c>
      <c r="T147" t="s">
        <v>64</v>
      </c>
      <c r="U147">
        <v>3.2196046119999999</v>
      </c>
      <c r="V147" t="s">
        <v>47</v>
      </c>
      <c r="W147" t="s">
        <v>48</v>
      </c>
      <c r="X147">
        <v>495.30569700000001</v>
      </c>
    </row>
    <row r="148" spans="1:24" x14ac:dyDescent="0.3">
      <c r="A148" t="s">
        <v>24</v>
      </c>
      <c r="B148" t="s">
        <v>100</v>
      </c>
      <c r="C148">
        <v>27.082207199999999</v>
      </c>
      <c r="D148">
        <v>75</v>
      </c>
      <c r="E148">
        <v>859</v>
      </c>
      <c r="F148">
        <v>2556.7673610000002</v>
      </c>
      <c r="G148" t="s">
        <v>26</v>
      </c>
      <c r="H148">
        <v>92</v>
      </c>
      <c r="I148">
        <v>29</v>
      </c>
      <c r="J148">
        <v>6</v>
      </c>
      <c r="K148">
        <v>8</v>
      </c>
      <c r="L148" t="s">
        <v>27</v>
      </c>
      <c r="M148">
        <v>4.0709558369999996</v>
      </c>
      <c r="N148" t="s">
        <v>28</v>
      </c>
      <c r="O148" t="s">
        <v>62</v>
      </c>
      <c r="P148">
        <v>18</v>
      </c>
      <c r="Q148">
        <v>870</v>
      </c>
      <c r="R148">
        <v>23</v>
      </c>
      <c r="S148">
        <v>77.322353210000003</v>
      </c>
      <c r="T148" t="s">
        <v>30</v>
      </c>
      <c r="U148">
        <v>3.6486105929999999</v>
      </c>
      <c r="V148" t="s">
        <v>31</v>
      </c>
      <c r="W148" t="s">
        <v>32</v>
      </c>
      <c r="X148">
        <v>380.43593709999999</v>
      </c>
    </row>
    <row r="149" spans="1:24" x14ac:dyDescent="0.3">
      <c r="A149" t="s">
        <v>33</v>
      </c>
      <c r="B149" t="s">
        <v>101</v>
      </c>
      <c r="C149">
        <v>95.712135880000005</v>
      </c>
      <c r="D149">
        <v>93</v>
      </c>
      <c r="E149">
        <v>910</v>
      </c>
      <c r="F149">
        <v>7089.4742500000002</v>
      </c>
      <c r="G149" t="s">
        <v>55</v>
      </c>
      <c r="H149">
        <v>4</v>
      </c>
      <c r="I149">
        <v>15</v>
      </c>
      <c r="J149">
        <v>51</v>
      </c>
      <c r="K149">
        <v>9</v>
      </c>
      <c r="L149" t="s">
        <v>27</v>
      </c>
      <c r="M149">
        <v>8.9787507560000002</v>
      </c>
      <c r="N149" t="s">
        <v>39</v>
      </c>
      <c r="O149" t="s">
        <v>45</v>
      </c>
      <c r="P149">
        <v>10</v>
      </c>
      <c r="Q149">
        <v>964</v>
      </c>
      <c r="R149">
        <v>20</v>
      </c>
      <c r="S149">
        <v>19.712992910000001</v>
      </c>
      <c r="T149" t="s">
        <v>30</v>
      </c>
      <c r="U149">
        <v>0.38057358699999999</v>
      </c>
      <c r="V149" t="s">
        <v>47</v>
      </c>
      <c r="W149" t="s">
        <v>48</v>
      </c>
      <c r="X149">
        <v>581.60235509999995</v>
      </c>
    </row>
    <row r="150" spans="1:24" x14ac:dyDescent="0.3">
      <c r="A150" t="s">
        <v>24</v>
      </c>
      <c r="B150" t="s">
        <v>102</v>
      </c>
      <c r="C150">
        <v>76.035544430000002</v>
      </c>
      <c r="D150">
        <v>28</v>
      </c>
      <c r="E150">
        <v>29</v>
      </c>
      <c r="F150">
        <v>7397.0710049999998</v>
      </c>
      <c r="G150" t="s">
        <v>26</v>
      </c>
      <c r="H150">
        <v>30</v>
      </c>
      <c r="I150">
        <v>16</v>
      </c>
      <c r="J150">
        <v>9</v>
      </c>
      <c r="K150">
        <v>3</v>
      </c>
      <c r="L150" t="s">
        <v>43</v>
      </c>
      <c r="M150">
        <v>7.0958331570000004</v>
      </c>
      <c r="N150" t="s">
        <v>61</v>
      </c>
      <c r="O150" t="s">
        <v>29</v>
      </c>
      <c r="P150">
        <v>9</v>
      </c>
      <c r="Q150">
        <v>109</v>
      </c>
      <c r="R150">
        <v>18</v>
      </c>
      <c r="S150">
        <v>23.12636358</v>
      </c>
      <c r="T150" t="s">
        <v>46</v>
      </c>
      <c r="U150">
        <v>1.698112541</v>
      </c>
      <c r="V150" t="s">
        <v>47</v>
      </c>
      <c r="W150" t="s">
        <v>32</v>
      </c>
      <c r="X150">
        <v>768.65191400000003</v>
      </c>
    </row>
    <row r="151" spans="1:24" x14ac:dyDescent="0.3">
      <c r="A151" t="s">
        <v>57</v>
      </c>
      <c r="B151" t="s">
        <v>103</v>
      </c>
      <c r="C151">
        <v>78.897913209999999</v>
      </c>
      <c r="D151">
        <v>19</v>
      </c>
      <c r="E151">
        <v>99</v>
      </c>
      <c r="F151">
        <v>8001.6132070000003</v>
      </c>
      <c r="G151" t="s">
        <v>38</v>
      </c>
      <c r="H151">
        <v>97</v>
      </c>
      <c r="I151">
        <v>24</v>
      </c>
      <c r="J151">
        <v>9</v>
      </c>
      <c r="K151">
        <v>6</v>
      </c>
      <c r="L151" t="s">
        <v>43</v>
      </c>
      <c r="M151">
        <v>2.5056210330000002</v>
      </c>
      <c r="N151" t="s">
        <v>44</v>
      </c>
      <c r="O151" t="s">
        <v>50</v>
      </c>
      <c r="P151">
        <v>28</v>
      </c>
      <c r="Q151">
        <v>177</v>
      </c>
      <c r="R151">
        <v>28</v>
      </c>
      <c r="S151">
        <v>14.14781544</v>
      </c>
      <c r="T151" t="s">
        <v>64</v>
      </c>
      <c r="U151">
        <v>2.8258139849999999</v>
      </c>
      <c r="V151" t="s">
        <v>47</v>
      </c>
      <c r="W151" t="s">
        <v>48</v>
      </c>
      <c r="X151">
        <v>336.89016850000002</v>
      </c>
    </row>
    <row r="152" spans="1:24" x14ac:dyDescent="0.3">
      <c r="A152" t="s">
        <v>57</v>
      </c>
      <c r="B152" t="s">
        <v>104</v>
      </c>
      <c r="C152">
        <v>14.20348426</v>
      </c>
      <c r="D152">
        <v>91</v>
      </c>
      <c r="E152">
        <v>633</v>
      </c>
      <c r="F152">
        <v>5910.8853900000004</v>
      </c>
      <c r="G152" t="s">
        <v>35</v>
      </c>
      <c r="H152">
        <v>31</v>
      </c>
      <c r="I152">
        <v>23</v>
      </c>
      <c r="J152">
        <v>82</v>
      </c>
      <c r="K152">
        <v>10</v>
      </c>
      <c r="L152" t="s">
        <v>36</v>
      </c>
      <c r="M152">
        <v>6.2478609150000004</v>
      </c>
      <c r="N152" t="s">
        <v>61</v>
      </c>
      <c r="O152" t="s">
        <v>50</v>
      </c>
      <c r="P152">
        <v>20</v>
      </c>
      <c r="Q152">
        <v>306</v>
      </c>
      <c r="R152">
        <v>21</v>
      </c>
      <c r="S152">
        <v>45.178757920000002</v>
      </c>
      <c r="T152" t="s">
        <v>46</v>
      </c>
      <c r="U152">
        <v>4.7548008050000004</v>
      </c>
      <c r="V152" t="s">
        <v>47</v>
      </c>
      <c r="W152" t="s">
        <v>32</v>
      </c>
      <c r="X152">
        <v>496.24865030000001</v>
      </c>
    </row>
    <row r="153" spans="1:24" x14ac:dyDescent="0.3">
      <c r="A153" t="s">
        <v>24</v>
      </c>
      <c r="B153" t="s">
        <v>105</v>
      </c>
      <c r="C153">
        <v>26.700760970000001</v>
      </c>
      <c r="D153">
        <v>61</v>
      </c>
      <c r="E153">
        <v>154</v>
      </c>
      <c r="F153">
        <v>9866.4654580000006</v>
      </c>
      <c r="G153" t="s">
        <v>55</v>
      </c>
      <c r="H153">
        <v>100</v>
      </c>
      <c r="I153">
        <v>4</v>
      </c>
      <c r="J153">
        <v>52</v>
      </c>
      <c r="K153">
        <v>1</v>
      </c>
      <c r="L153" t="s">
        <v>36</v>
      </c>
      <c r="M153">
        <v>4.7830005580000003</v>
      </c>
      <c r="N153" t="s">
        <v>44</v>
      </c>
      <c r="O153" t="s">
        <v>53</v>
      </c>
      <c r="P153">
        <v>18</v>
      </c>
      <c r="Q153">
        <v>673</v>
      </c>
      <c r="R153">
        <v>28</v>
      </c>
      <c r="S153">
        <v>14.190328340000001</v>
      </c>
      <c r="T153" t="s">
        <v>30</v>
      </c>
      <c r="U153">
        <v>1.772951172</v>
      </c>
      <c r="V153" t="s">
        <v>31</v>
      </c>
      <c r="W153" t="s">
        <v>48</v>
      </c>
      <c r="X153">
        <v>694.98231759999999</v>
      </c>
    </row>
    <row r="154" spans="1:24" x14ac:dyDescent="0.3">
      <c r="A154" t="s">
        <v>33</v>
      </c>
      <c r="B154" t="s">
        <v>106</v>
      </c>
      <c r="C154">
        <v>98.03182966</v>
      </c>
      <c r="D154">
        <v>1</v>
      </c>
      <c r="E154">
        <v>820</v>
      </c>
      <c r="F154">
        <v>9435.7626089999994</v>
      </c>
      <c r="G154" t="s">
        <v>55</v>
      </c>
      <c r="H154">
        <v>64</v>
      </c>
      <c r="I154">
        <v>11</v>
      </c>
      <c r="J154">
        <v>11</v>
      </c>
      <c r="K154">
        <v>1</v>
      </c>
      <c r="L154" t="s">
        <v>27</v>
      </c>
      <c r="M154">
        <v>8.6310521799999993</v>
      </c>
      <c r="N154" t="s">
        <v>39</v>
      </c>
      <c r="O154" t="s">
        <v>29</v>
      </c>
      <c r="P154">
        <v>10</v>
      </c>
      <c r="Q154">
        <v>727</v>
      </c>
      <c r="R154">
        <v>27</v>
      </c>
      <c r="S154">
        <v>9.1668491490000008</v>
      </c>
      <c r="T154" t="s">
        <v>30</v>
      </c>
      <c r="U154">
        <v>2.1224716190000001</v>
      </c>
      <c r="V154" t="s">
        <v>40</v>
      </c>
      <c r="W154" t="s">
        <v>41</v>
      </c>
      <c r="X154">
        <v>602.89849879999997</v>
      </c>
    </row>
    <row r="155" spans="1:24" x14ac:dyDescent="0.3">
      <c r="A155" t="s">
        <v>33</v>
      </c>
      <c r="B155" t="s">
        <v>107</v>
      </c>
      <c r="C155">
        <v>30.341470709999999</v>
      </c>
      <c r="D155">
        <v>93</v>
      </c>
      <c r="E155">
        <v>242</v>
      </c>
      <c r="F155">
        <v>8232.3348289999994</v>
      </c>
      <c r="G155" t="s">
        <v>55</v>
      </c>
      <c r="H155">
        <v>96</v>
      </c>
      <c r="I155">
        <v>25</v>
      </c>
      <c r="J155">
        <v>54</v>
      </c>
      <c r="K155">
        <v>3</v>
      </c>
      <c r="L155" t="s">
        <v>27</v>
      </c>
      <c r="M155">
        <v>1.0134865660000001</v>
      </c>
      <c r="N155" t="s">
        <v>39</v>
      </c>
      <c r="O155" t="s">
        <v>50</v>
      </c>
      <c r="P155">
        <v>1</v>
      </c>
      <c r="Q155">
        <v>631</v>
      </c>
      <c r="R155">
        <v>17</v>
      </c>
      <c r="S155">
        <v>83.344058989999994</v>
      </c>
      <c r="T155" t="s">
        <v>30</v>
      </c>
      <c r="U155">
        <v>1.4103475759999999</v>
      </c>
      <c r="V155" t="s">
        <v>40</v>
      </c>
      <c r="W155" t="s">
        <v>32</v>
      </c>
      <c r="X155">
        <v>750.73784069999999</v>
      </c>
    </row>
    <row r="156" spans="1:24" x14ac:dyDescent="0.3">
      <c r="A156" t="s">
        <v>24</v>
      </c>
      <c r="B156" t="s">
        <v>108</v>
      </c>
      <c r="C156">
        <v>31.146243160000001</v>
      </c>
      <c r="D156">
        <v>11</v>
      </c>
      <c r="E156">
        <v>622</v>
      </c>
      <c r="F156">
        <v>6088.0214800000003</v>
      </c>
      <c r="G156" t="s">
        <v>26</v>
      </c>
      <c r="H156">
        <v>33</v>
      </c>
      <c r="I156">
        <v>22</v>
      </c>
      <c r="J156">
        <v>61</v>
      </c>
      <c r="K156">
        <v>3</v>
      </c>
      <c r="L156" t="s">
        <v>27</v>
      </c>
      <c r="M156">
        <v>4.3051034709999998</v>
      </c>
      <c r="N156" t="s">
        <v>39</v>
      </c>
      <c r="O156" t="s">
        <v>45</v>
      </c>
      <c r="P156">
        <v>26</v>
      </c>
      <c r="Q156">
        <v>497</v>
      </c>
      <c r="R156">
        <v>29</v>
      </c>
      <c r="S156">
        <v>30.186023380000002</v>
      </c>
      <c r="T156" t="s">
        <v>64</v>
      </c>
      <c r="U156">
        <v>2.478771976</v>
      </c>
      <c r="V156" t="s">
        <v>31</v>
      </c>
      <c r="W156" t="s">
        <v>32</v>
      </c>
      <c r="X156">
        <v>814.06999659999997</v>
      </c>
    </row>
    <row r="157" spans="1:24" x14ac:dyDescent="0.3">
      <c r="A157" t="s">
        <v>24</v>
      </c>
      <c r="B157" t="s">
        <v>109</v>
      </c>
      <c r="C157">
        <v>79.855058339999999</v>
      </c>
      <c r="D157">
        <v>16</v>
      </c>
      <c r="E157">
        <v>701</v>
      </c>
      <c r="F157">
        <v>2925.67517</v>
      </c>
      <c r="G157" t="s">
        <v>55</v>
      </c>
      <c r="H157">
        <v>97</v>
      </c>
      <c r="I157">
        <v>11</v>
      </c>
      <c r="J157">
        <v>11</v>
      </c>
      <c r="K157">
        <v>5</v>
      </c>
      <c r="L157" t="s">
        <v>36</v>
      </c>
      <c r="M157">
        <v>5.0143649549999996</v>
      </c>
      <c r="N157" t="s">
        <v>61</v>
      </c>
      <c r="O157" t="s">
        <v>50</v>
      </c>
      <c r="P157">
        <v>27</v>
      </c>
      <c r="Q157">
        <v>918</v>
      </c>
      <c r="R157">
        <v>5</v>
      </c>
      <c r="S157">
        <v>30.32354526</v>
      </c>
      <c r="T157" t="s">
        <v>46</v>
      </c>
      <c r="U157">
        <v>4.5489196590000001</v>
      </c>
      <c r="V157" t="s">
        <v>56</v>
      </c>
      <c r="W157" t="s">
        <v>32</v>
      </c>
      <c r="X157">
        <v>323.01292799999999</v>
      </c>
    </row>
    <row r="158" spans="1:24" x14ac:dyDescent="0.3">
      <c r="A158" t="s">
        <v>33</v>
      </c>
      <c r="B158" t="s">
        <v>110</v>
      </c>
      <c r="C158">
        <v>20.986386039999999</v>
      </c>
      <c r="D158">
        <v>90</v>
      </c>
      <c r="E158">
        <v>93</v>
      </c>
      <c r="F158">
        <v>4767.0204839999997</v>
      </c>
      <c r="G158" t="s">
        <v>26</v>
      </c>
      <c r="H158">
        <v>25</v>
      </c>
      <c r="I158">
        <v>23</v>
      </c>
      <c r="J158">
        <v>83</v>
      </c>
      <c r="K158">
        <v>5</v>
      </c>
      <c r="L158" t="s">
        <v>43</v>
      </c>
      <c r="M158">
        <v>1.774429714</v>
      </c>
      <c r="N158" t="s">
        <v>39</v>
      </c>
      <c r="O158" t="s">
        <v>29</v>
      </c>
      <c r="P158">
        <v>24</v>
      </c>
      <c r="Q158">
        <v>826</v>
      </c>
      <c r="R158">
        <v>28</v>
      </c>
      <c r="S158">
        <v>12.83628457</v>
      </c>
      <c r="T158" t="s">
        <v>64</v>
      </c>
      <c r="U158">
        <v>1.173755495</v>
      </c>
      <c r="V158" t="s">
        <v>40</v>
      </c>
      <c r="W158" t="s">
        <v>32</v>
      </c>
      <c r="X158">
        <v>832.21080870000003</v>
      </c>
    </row>
    <row r="159" spans="1:24" x14ac:dyDescent="0.3">
      <c r="A159" t="s">
        <v>24</v>
      </c>
      <c r="B159" t="s">
        <v>111</v>
      </c>
      <c r="C159">
        <v>49.26320535</v>
      </c>
      <c r="D159">
        <v>65</v>
      </c>
      <c r="E159">
        <v>227</v>
      </c>
      <c r="F159">
        <v>1605.8669</v>
      </c>
      <c r="G159" t="s">
        <v>38</v>
      </c>
      <c r="H159">
        <v>5</v>
      </c>
      <c r="I159">
        <v>18</v>
      </c>
      <c r="J159">
        <v>51</v>
      </c>
      <c r="K159">
        <v>1</v>
      </c>
      <c r="L159" t="s">
        <v>27</v>
      </c>
      <c r="M159">
        <v>9.1605585349999998</v>
      </c>
      <c r="N159" t="s">
        <v>61</v>
      </c>
      <c r="O159" t="s">
        <v>50</v>
      </c>
      <c r="P159">
        <v>21</v>
      </c>
      <c r="Q159">
        <v>588</v>
      </c>
      <c r="R159">
        <v>25</v>
      </c>
      <c r="S159">
        <v>67.779622989999993</v>
      </c>
      <c r="T159" t="s">
        <v>30</v>
      </c>
      <c r="U159">
        <v>2.5111748299999999</v>
      </c>
      <c r="V159" t="s">
        <v>47</v>
      </c>
      <c r="W159" t="s">
        <v>48</v>
      </c>
      <c r="X159">
        <v>482.19123860000002</v>
      </c>
    </row>
    <row r="160" spans="1:24" x14ac:dyDescent="0.3">
      <c r="A160" t="s">
        <v>33</v>
      </c>
      <c r="B160" t="s">
        <v>112</v>
      </c>
      <c r="C160">
        <v>59.841561380000002</v>
      </c>
      <c r="D160">
        <v>81</v>
      </c>
      <c r="E160">
        <v>896</v>
      </c>
      <c r="F160">
        <v>2021.1498099999999</v>
      </c>
      <c r="G160" t="s">
        <v>26</v>
      </c>
      <c r="H160">
        <v>10</v>
      </c>
      <c r="I160">
        <v>5</v>
      </c>
      <c r="J160">
        <v>44</v>
      </c>
      <c r="K160">
        <v>7</v>
      </c>
      <c r="L160" t="s">
        <v>36</v>
      </c>
      <c r="M160">
        <v>4.9384385650000002</v>
      </c>
      <c r="N160" t="s">
        <v>28</v>
      </c>
      <c r="O160" t="s">
        <v>50</v>
      </c>
      <c r="P160">
        <v>18</v>
      </c>
      <c r="Q160">
        <v>396</v>
      </c>
      <c r="R160">
        <v>7</v>
      </c>
      <c r="S160">
        <v>65.047415090000001</v>
      </c>
      <c r="T160" t="s">
        <v>46</v>
      </c>
      <c r="U160">
        <v>1.7303747199999999</v>
      </c>
      <c r="V160" t="s">
        <v>31</v>
      </c>
      <c r="W160" t="s">
        <v>32</v>
      </c>
      <c r="X160">
        <v>110.3643352</v>
      </c>
    </row>
    <row r="161" spans="1:24" x14ac:dyDescent="0.3">
      <c r="A161" t="s">
        <v>57</v>
      </c>
      <c r="B161" t="s">
        <v>113</v>
      </c>
      <c r="C161">
        <v>63.828398350000001</v>
      </c>
      <c r="D161">
        <v>30</v>
      </c>
      <c r="E161">
        <v>484</v>
      </c>
      <c r="F161">
        <v>1061.6185230000001</v>
      </c>
      <c r="G161" t="s">
        <v>26</v>
      </c>
      <c r="H161">
        <v>100</v>
      </c>
      <c r="I161">
        <v>16</v>
      </c>
      <c r="J161">
        <v>26</v>
      </c>
      <c r="K161">
        <v>7</v>
      </c>
      <c r="L161" t="s">
        <v>27</v>
      </c>
      <c r="M161">
        <v>7.2937225970000004</v>
      </c>
      <c r="N161" t="s">
        <v>39</v>
      </c>
      <c r="O161" t="s">
        <v>45</v>
      </c>
      <c r="P161">
        <v>11</v>
      </c>
      <c r="Q161">
        <v>176</v>
      </c>
      <c r="R161">
        <v>4</v>
      </c>
      <c r="S161">
        <v>1.900762244</v>
      </c>
      <c r="T161" t="s">
        <v>46</v>
      </c>
      <c r="U161">
        <v>0.447194015</v>
      </c>
      <c r="V161" t="s">
        <v>40</v>
      </c>
      <c r="W161" t="s">
        <v>48</v>
      </c>
      <c r="X161">
        <v>312.57427360000003</v>
      </c>
    </row>
    <row r="162" spans="1:24" x14ac:dyDescent="0.3">
      <c r="A162" t="s">
        <v>33</v>
      </c>
      <c r="B162" t="s">
        <v>114</v>
      </c>
      <c r="C162">
        <v>17.02802792</v>
      </c>
      <c r="D162">
        <v>16</v>
      </c>
      <c r="E162">
        <v>380</v>
      </c>
      <c r="F162">
        <v>8864.0843499999992</v>
      </c>
      <c r="G162" t="s">
        <v>35</v>
      </c>
      <c r="H162">
        <v>41</v>
      </c>
      <c r="I162">
        <v>27</v>
      </c>
      <c r="J162">
        <v>72</v>
      </c>
      <c r="K162">
        <v>8</v>
      </c>
      <c r="L162" t="s">
        <v>43</v>
      </c>
      <c r="M162">
        <v>4.3813681579999999</v>
      </c>
      <c r="N162" t="s">
        <v>52</v>
      </c>
      <c r="O162" t="s">
        <v>29</v>
      </c>
      <c r="P162">
        <v>29</v>
      </c>
      <c r="Q162">
        <v>929</v>
      </c>
      <c r="R162">
        <v>24</v>
      </c>
      <c r="S162">
        <v>87.213057820000003</v>
      </c>
      <c r="T162" t="s">
        <v>46</v>
      </c>
      <c r="U162">
        <v>2.8530906169999999</v>
      </c>
      <c r="V162" t="s">
        <v>47</v>
      </c>
      <c r="W162" t="s">
        <v>48</v>
      </c>
      <c r="X162">
        <v>430.16909700000002</v>
      </c>
    </row>
    <row r="163" spans="1:24" x14ac:dyDescent="0.3">
      <c r="A163" t="s">
        <v>24</v>
      </c>
      <c r="B163" t="s">
        <v>115</v>
      </c>
      <c r="C163">
        <v>52.028749900000001</v>
      </c>
      <c r="D163">
        <v>23</v>
      </c>
      <c r="E163">
        <v>117</v>
      </c>
      <c r="F163">
        <v>6885.5893509999996</v>
      </c>
      <c r="G163" t="s">
        <v>38</v>
      </c>
      <c r="H163">
        <v>32</v>
      </c>
      <c r="I163">
        <v>23</v>
      </c>
      <c r="J163">
        <v>36</v>
      </c>
      <c r="K163">
        <v>7</v>
      </c>
      <c r="L163" t="s">
        <v>43</v>
      </c>
      <c r="M163">
        <v>9.0303404230000002</v>
      </c>
      <c r="N163" t="s">
        <v>52</v>
      </c>
      <c r="O163" t="s">
        <v>45</v>
      </c>
      <c r="P163">
        <v>14</v>
      </c>
      <c r="Q163">
        <v>480</v>
      </c>
      <c r="R163">
        <v>12</v>
      </c>
      <c r="S163">
        <v>78.702393970000003</v>
      </c>
      <c r="T163" t="s">
        <v>46</v>
      </c>
      <c r="U163">
        <v>4.3674705380000001</v>
      </c>
      <c r="V163" t="s">
        <v>40</v>
      </c>
      <c r="W163" t="s">
        <v>48</v>
      </c>
      <c r="X163">
        <v>164.3665282</v>
      </c>
    </row>
    <row r="164" spans="1:24" x14ac:dyDescent="0.3">
      <c r="A164" t="s">
        <v>57</v>
      </c>
      <c r="B164" t="s">
        <v>116</v>
      </c>
      <c r="C164">
        <v>72.796353960000005</v>
      </c>
      <c r="D164">
        <v>89</v>
      </c>
      <c r="E164">
        <v>270</v>
      </c>
      <c r="F164">
        <v>3899.746834</v>
      </c>
      <c r="G164" t="s">
        <v>38</v>
      </c>
      <c r="H164">
        <v>86</v>
      </c>
      <c r="I164">
        <v>2</v>
      </c>
      <c r="J164">
        <v>40</v>
      </c>
      <c r="K164">
        <v>7</v>
      </c>
      <c r="L164" t="s">
        <v>43</v>
      </c>
      <c r="M164">
        <v>7.291701389</v>
      </c>
      <c r="N164" t="s">
        <v>61</v>
      </c>
      <c r="O164" t="s">
        <v>29</v>
      </c>
      <c r="P164">
        <v>13</v>
      </c>
      <c r="Q164">
        <v>751</v>
      </c>
      <c r="R164">
        <v>14</v>
      </c>
      <c r="S164">
        <v>21.048642730000001</v>
      </c>
      <c r="T164" t="s">
        <v>64</v>
      </c>
      <c r="U164">
        <v>1.8740014039999999</v>
      </c>
      <c r="V164" t="s">
        <v>56</v>
      </c>
      <c r="W164" t="s">
        <v>41</v>
      </c>
      <c r="X164">
        <v>320.84651580000002</v>
      </c>
    </row>
    <row r="165" spans="1:24" x14ac:dyDescent="0.3">
      <c r="A165" t="s">
        <v>33</v>
      </c>
      <c r="B165" t="s">
        <v>117</v>
      </c>
      <c r="C165">
        <v>13.01737679</v>
      </c>
      <c r="D165">
        <v>55</v>
      </c>
      <c r="E165">
        <v>246</v>
      </c>
      <c r="F165">
        <v>4256.9491410000001</v>
      </c>
      <c r="G165" t="s">
        <v>26</v>
      </c>
      <c r="H165">
        <v>54</v>
      </c>
      <c r="I165">
        <v>19</v>
      </c>
      <c r="J165">
        <v>10</v>
      </c>
      <c r="K165">
        <v>4</v>
      </c>
      <c r="L165" t="s">
        <v>36</v>
      </c>
      <c r="M165">
        <v>2.4579335279999999</v>
      </c>
      <c r="N165" t="s">
        <v>28</v>
      </c>
      <c r="O165" t="s">
        <v>53</v>
      </c>
      <c r="P165">
        <v>18</v>
      </c>
      <c r="Q165">
        <v>736</v>
      </c>
      <c r="R165">
        <v>10</v>
      </c>
      <c r="S165">
        <v>20.075003980000002</v>
      </c>
      <c r="T165" t="s">
        <v>30</v>
      </c>
      <c r="U165">
        <v>3.6328432899999998</v>
      </c>
      <c r="V165" t="s">
        <v>56</v>
      </c>
      <c r="W165" t="s">
        <v>48</v>
      </c>
      <c r="X165">
        <v>687.28617789999998</v>
      </c>
    </row>
    <row r="166" spans="1:24" x14ac:dyDescent="0.3">
      <c r="A166" t="s">
        <v>33</v>
      </c>
      <c r="B166" t="s">
        <v>118</v>
      </c>
      <c r="C166">
        <v>89.634095610000003</v>
      </c>
      <c r="D166">
        <v>11</v>
      </c>
      <c r="E166">
        <v>134</v>
      </c>
      <c r="F166">
        <v>8458.7308780000003</v>
      </c>
      <c r="G166" t="s">
        <v>35</v>
      </c>
      <c r="H166">
        <v>73</v>
      </c>
      <c r="I166">
        <v>27</v>
      </c>
      <c r="J166">
        <v>75</v>
      </c>
      <c r="K166">
        <v>6</v>
      </c>
      <c r="L166" t="s">
        <v>43</v>
      </c>
      <c r="M166">
        <v>4.5853534680000001</v>
      </c>
      <c r="N166" t="s">
        <v>39</v>
      </c>
      <c r="O166" t="s">
        <v>50</v>
      </c>
      <c r="P166">
        <v>17</v>
      </c>
      <c r="Q166">
        <v>328</v>
      </c>
      <c r="R166">
        <v>6</v>
      </c>
      <c r="S166">
        <v>8.6930424259999999</v>
      </c>
      <c r="T166" t="s">
        <v>46</v>
      </c>
      <c r="U166">
        <v>0.15948631499999999</v>
      </c>
      <c r="V166" t="s">
        <v>40</v>
      </c>
      <c r="W166" t="s">
        <v>41</v>
      </c>
      <c r="X166">
        <v>771.22508470000002</v>
      </c>
    </row>
    <row r="167" spans="1:24" x14ac:dyDescent="0.3">
      <c r="A167" t="s">
        <v>33</v>
      </c>
      <c r="B167" t="s">
        <v>119</v>
      </c>
      <c r="C167">
        <v>33.69771721</v>
      </c>
      <c r="D167">
        <v>72</v>
      </c>
      <c r="E167">
        <v>457</v>
      </c>
      <c r="F167">
        <v>8354.5796859999991</v>
      </c>
      <c r="G167" t="s">
        <v>55</v>
      </c>
      <c r="H167">
        <v>57</v>
      </c>
      <c r="I167">
        <v>24</v>
      </c>
      <c r="J167">
        <v>54</v>
      </c>
      <c r="K167">
        <v>8</v>
      </c>
      <c r="L167" t="s">
        <v>43</v>
      </c>
      <c r="M167">
        <v>6.5805413479999997</v>
      </c>
      <c r="N167" t="s">
        <v>44</v>
      </c>
      <c r="O167" t="s">
        <v>45</v>
      </c>
      <c r="P167">
        <v>16</v>
      </c>
      <c r="Q167">
        <v>358</v>
      </c>
      <c r="R167">
        <v>21</v>
      </c>
      <c r="S167">
        <v>1.5972227429999999</v>
      </c>
      <c r="T167" t="s">
        <v>46</v>
      </c>
      <c r="U167">
        <v>4.9110959550000004</v>
      </c>
      <c r="V167" t="s">
        <v>47</v>
      </c>
      <c r="W167" t="s">
        <v>41</v>
      </c>
      <c r="X167">
        <v>555.85910369999999</v>
      </c>
    </row>
    <row r="168" spans="1:24" x14ac:dyDescent="0.3">
      <c r="A168" t="s">
        <v>33</v>
      </c>
      <c r="B168" t="s">
        <v>120</v>
      </c>
      <c r="C168">
        <v>26.03486977</v>
      </c>
      <c r="D168">
        <v>52</v>
      </c>
      <c r="E168">
        <v>704</v>
      </c>
      <c r="F168">
        <v>8367.7216179999996</v>
      </c>
      <c r="G168" t="s">
        <v>35</v>
      </c>
      <c r="H168">
        <v>13</v>
      </c>
      <c r="I168">
        <v>17</v>
      </c>
      <c r="J168">
        <v>19</v>
      </c>
      <c r="K168">
        <v>8</v>
      </c>
      <c r="L168" t="s">
        <v>36</v>
      </c>
      <c r="M168">
        <v>2.216142729</v>
      </c>
      <c r="N168" t="s">
        <v>44</v>
      </c>
      <c r="O168" t="s">
        <v>45</v>
      </c>
      <c r="P168">
        <v>24</v>
      </c>
      <c r="Q168">
        <v>867</v>
      </c>
      <c r="R168">
        <v>28</v>
      </c>
      <c r="S168">
        <v>42.084436740000001</v>
      </c>
      <c r="T168" t="s">
        <v>46</v>
      </c>
      <c r="U168">
        <v>3.4480632880000002</v>
      </c>
      <c r="V168" t="s">
        <v>31</v>
      </c>
      <c r="W168" t="s">
        <v>48</v>
      </c>
      <c r="X168">
        <v>393.84334860000001</v>
      </c>
    </row>
    <row r="169" spans="1:24" x14ac:dyDescent="0.3">
      <c r="A169" t="s">
        <v>33</v>
      </c>
      <c r="B169" t="s">
        <v>121</v>
      </c>
      <c r="C169">
        <v>87.755432350000007</v>
      </c>
      <c r="D169">
        <v>16</v>
      </c>
      <c r="E169">
        <v>513</v>
      </c>
      <c r="F169">
        <v>9473.7980329999991</v>
      </c>
      <c r="G169" t="s">
        <v>38</v>
      </c>
      <c r="H169">
        <v>12</v>
      </c>
      <c r="I169">
        <v>9</v>
      </c>
      <c r="J169">
        <v>71</v>
      </c>
      <c r="K169">
        <v>9</v>
      </c>
      <c r="L169" t="s">
        <v>43</v>
      </c>
      <c r="M169">
        <v>9.1478115449999997</v>
      </c>
      <c r="N169" t="s">
        <v>39</v>
      </c>
      <c r="O169" t="s">
        <v>29</v>
      </c>
      <c r="P169">
        <v>10</v>
      </c>
      <c r="Q169">
        <v>198</v>
      </c>
      <c r="R169">
        <v>11</v>
      </c>
      <c r="S169">
        <v>7.057876147</v>
      </c>
      <c r="T169" t="s">
        <v>64</v>
      </c>
      <c r="U169">
        <v>0.13195544400000001</v>
      </c>
      <c r="V169" t="s">
        <v>56</v>
      </c>
      <c r="W169" t="s">
        <v>41</v>
      </c>
      <c r="X169">
        <v>169.27180139999999</v>
      </c>
    </row>
    <row r="170" spans="1:24" x14ac:dyDescent="0.3">
      <c r="A170" t="s">
        <v>24</v>
      </c>
      <c r="B170" t="s">
        <v>122</v>
      </c>
      <c r="C170">
        <v>37.931812379999997</v>
      </c>
      <c r="D170">
        <v>29</v>
      </c>
      <c r="E170">
        <v>163</v>
      </c>
      <c r="F170">
        <v>3550.218433</v>
      </c>
      <c r="G170" t="s">
        <v>26</v>
      </c>
      <c r="H170">
        <v>0</v>
      </c>
      <c r="I170">
        <v>8</v>
      </c>
      <c r="J170">
        <v>58</v>
      </c>
      <c r="K170">
        <v>8</v>
      </c>
      <c r="L170" t="s">
        <v>27</v>
      </c>
      <c r="M170">
        <v>1.194251865</v>
      </c>
      <c r="N170" t="s">
        <v>61</v>
      </c>
      <c r="O170" t="s">
        <v>53</v>
      </c>
      <c r="P170">
        <v>2</v>
      </c>
      <c r="Q170">
        <v>375</v>
      </c>
      <c r="R170">
        <v>18</v>
      </c>
      <c r="S170">
        <v>97.11358156</v>
      </c>
      <c r="T170" t="s">
        <v>46</v>
      </c>
      <c r="U170">
        <v>1.9834678720000001</v>
      </c>
      <c r="V170" t="s">
        <v>47</v>
      </c>
      <c r="W170" t="s">
        <v>48</v>
      </c>
      <c r="X170">
        <v>299.70630310000001</v>
      </c>
    </row>
    <row r="171" spans="1:24" x14ac:dyDescent="0.3">
      <c r="A171" t="s">
        <v>33</v>
      </c>
      <c r="B171" t="s">
        <v>123</v>
      </c>
      <c r="C171">
        <v>54.865528519999998</v>
      </c>
      <c r="D171">
        <v>62</v>
      </c>
      <c r="E171">
        <v>511</v>
      </c>
      <c r="F171">
        <v>1752.381087</v>
      </c>
      <c r="G171" t="s">
        <v>26</v>
      </c>
      <c r="H171">
        <v>95</v>
      </c>
      <c r="I171">
        <v>1</v>
      </c>
      <c r="J171">
        <v>27</v>
      </c>
      <c r="K171">
        <v>3</v>
      </c>
      <c r="L171" t="s">
        <v>27</v>
      </c>
      <c r="M171">
        <v>9.7052867900000006</v>
      </c>
      <c r="N171" t="s">
        <v>52</v>
      </c>
      <c r="O171" t="s">
        <v>45</v>
      </c>
      <c r="P171">
        <v>9</v>
      </c>
      <c r="Q171">
        <v>862</v>
      </c>
      <c r="R171">
        <v>7</v>
      </c>
      <c r="S171">
        <v>77.62776581</v>
      </c>
      <c r="T171" t="s">
        <v>30</v>
      </c>
      <c r="U171">
        <v>1.3623879889999999</v>
      </c>
      <c r="V171" t="s">
        <v>40</v>
      </c>
      <c r="W171" t="s">
        <v>48</v>
      </c>
      <c r="X171">
        <v>207.66320619999999</v>
      </c>
    </row>
    <row r="172" spans="1:24" x14ac:dyDescent="0.3">
      <c r="A172" t="s">
        <v>24</v>
      </c>
      <c r="B172" t="s">
        <v>124</v>
      </c>
      <c r="C172">
        <v>47.914541819999997</v>
      </c>
      <c r="D172">
        <v>90</v>
      </c>
      <c r="E172">
        <v>32</v>
      </c>
      <c r="F172">
        <v>7014.8879870000001</v>
      </c>
      <c r="G172" t="s">
        <v>35</v>
      </c>
      <c r="H172">
        <v>10</v>
      </c>
      <c r="I172">
        <v>12</v>
      </c>
      <c r="J172">
        <v>22</v>
      </c>
      <c r="K172">
        <v>4</v>
      </c>
      <c r="L172" t="s">
        <v>27</v>
      </c>
      <c r="M172">
        <v>6.3157177549999997</v>
      </c>
      <c r="N172" t="s">
        <v>39</v>
      </c>
      <c r="O172" t="s">
        <v>53</v>
      </c>
      <c r="P172">
        <v>22</v>
      </c>
      <c r="Q172">
        <v>775</v>
      </c>
      <c r="R172">
        <v>16</v>
      </c>
      <c r="S172">
        <v>11.44078182</v>
      </c>
      <c r="T172" t="s">
        <v>64</v>
      </c>
      <c r="U172">
        <v>1.8305755990000001</v>
      </c>
      <c r="V172" t="s">
        <v>31</v>
      </c>
      <c r="W172" t="s">
        <v>41</v>
      </c>
      <c r="X172">
        <v>183.27289870000001</v>
      </c>
    </row>
    <row r="173" spans="1:24" x14ac:dyDescent="0.3">
      <c r="A173" t="s">
        <v>57</v>
      </c>
      <c r="B173" t="s">
        <v>125</v>
      </c>
      <c r="C173">
        <v>6.3815331630000003</v>
      </c>
      <c r="D173">
        <v>14</v>
      </c>
      <c r="E173">
        <v>637</v>
      </c>
      <c r="F173">
        <v>8180.3370850000001</v>
      </c>
      <c r="G173" t="s">
        <v>35</v>
      </c>
      <c r="H173">
        <v>76</v>
      </c>
      <c r="I173">
        <v>2</v>
      </c>
      <c r="J173">
        <v>26</v>
      </c>
      <c r="K173">
        <v>6</v>
      </c>
      <c r="L173" t="s">
        <v>36</v>
      </c>
      <c r="M173">
        <v>9.2281903169999993</v>
      </c>
      <c r="N173" t="s">
        <v>61</v>
      </c>
      <c r="O173" t="s">
        <v>53</v>
      </c>
      <c r="P173">
        <v>2</v>
      </c>
      <c r="Q173">
        <v>258</v>
      </c>
      <c r="R173">
        <v>10</v>
      </c>
      <c r="S173">
        <v>30.661677480000002</v>
      </c>
      <c r="T173" t="s">
        <v>30</v>
      </c>
      <c r="U173">
        <v>2.078750608</v>
      </c>
      <c r="V173" t="s">
        <v>31</v>
      </c>
      <c r="W173" t="s">
        <v>48</v>
      </c>
      <c r="X173">
        <v>405.16706790000001</v>
      </c>
    </row>
    <row r="174" spans="1:24" x14ac:dyDescent="0.3">
      <c r="A174" t="s">
        <v>57</v>
      </c>
      <c r="B174" t="s">
        <v>126</v>
      </c>
      <c r="C174">
        <v>90.204427519999996</v>
      </c>
      <c r="D174">
        <v>88</v>
      </c>
      <c r="E174">
        <v>478</v>
      </c>
      <c r="F174">
        <v>2633.1219809999998</v>
      </c>
      <c r="G174" t="s">
        <v>26</v>
      </c>
      <c r="H174">
        <v>57</v>
      </c>
      <c r="I174">
        <v>29</v>
      </c>
      <c r="J174">
        <v>77</v>
      </c>
      <c r="K174">
        <v>9</v>
      </c>
      <c r="L174" t="s">
        <v>36</v>
      </c>
      <c r="M174">
        <v>6.5996141599999998</v>
      </c>
      <c r="N174" t="s">
        <v>39</v>
      </c>
      <c r="O174" t="s">
        <v>53</v>
      </c>
      <c r="P174">
        <v>21</v>
      </c>
      <c r="Q174">
        <v>152</v>
      </c>
      <c r="R174">
        <v>11</v>
      </c>
      <c r="S174">
        <v>55.760492900000003</v>
      </c>
      <c r="T174" t="s">
        <v>30</v>
      </c>
      <c r="U174">
        <v>3.2133296069999999</v>
      </c>
      <c r="V174" t="s">
        <v>47</v>
      </c>
      <c r="W174" t="s">
        <v>32</v>
      </c>
      <c r="X174">
        <v>677.94456979999995</v>
      </c>
    </row>
    <row r="175" spans="1:24" x14ac:dyDescent="0.3">
      <c r="A175" t="s">
        <v>57</v>
      </c>
      <c r="B175" t="s">
        <v>127</v>
      </c>
      <c r="C175">
        <v>83.851017679999998</v>
      </c>
      <c r="D175">
        <v>41</v>
      </c>
      <c r="E175">
        <v>375</v>
      </c>
      <c r="F175">
        <v>7910.8869160000004</v>
      </c>
      <c r="G175" t="s">
        <v>55</v>
      </c>
      <c r="H175">
        <v>17</v>
      </c>
      <c r="I175">
        <v>25</v>
      </c>
      <c r="J175">
        <v>66</v>
      </c>
      <c r="K175">
        <v>5</v>
      </c>
      <c r="L175" t="s">
        <v>27</v>
      </c>
      <c r="M175">
        <v>1.512936837</v>
      </c>
      <c r="N175" t="s">
        <v>52</v>
      </c>
      <c r="O175" t="s">
        <v>62</v>
      </c>
      <c r="P175">
        <v>13</v>
      </c>
      <c r="Q175">
        <v>444</v>
      </c>
      <c r="R175">
        <v>4</v>
      </c>
      <c r="S175">
        <v>46.870238800000003</v>
      </c>
      <c r="T175" t="s">
        <v>46</v>
      </c>
      <c r="U175">
        <v>4.6205460650000001</v>
      </c>
      <c r="V175" t="s">
        <v>31</v>
      </c>
      <c r="W175" t="s">
        <v>48</v>
      </c>
      <c r="X175">
        <v>866.47280009999997</v>
      </c>
    </row>
    <row r="176" spans="1:24" x14ac:dyDescent="0.3">
      <c r="A176" t="s">
        <v>24</v>
      </c>
      <c r="B176" t="s">
        <v>128</v>
      </c>
      <c r="C176">
        <v>3.1700114140000002</v>
      </c>
      <c r="D176">
        <v>64</v>
      </c>
      <c r="E176">
        <v>904</v>
      </c>
      <c r="F176">
        <v>5709.9452959999999</v>
      </c>
      <c r="G176" t="s">
        <v>35</v>
      </c>
      <c r="H176">
        <v>41</v>
      </c>
      <c r="I176">
        <v>6</v>
      </c>
      <c r="J176">
        <v>1</v>
      </c>
      <c r="K176">
        <v>5</v>
      </c>
      <c r="L176" t="s">
        <v>36</v>
      </c>
      <c r="M176">
        <v>5.2376546499999996</v>
      </c>
      <c r="N176" t="s">
        <v>52</v>
      </c>
      <c r="O176" t="s">
        <v>50</v>
      </c>
      <c r="P176">
        <v>1</v>
      </c>
      <c r="Q176">
        <v>919</v>
      </c>
      <c r="R176">
        <v>9</v>
      </c>
      <c r="S176">
        <v>80.580852160000006</v>
      </c>
      <c r="T176" t="s">
        <v>46</v>
      </c>
      <c r="U176">
        <v>0.39661272400000003</v>
      </c>
      <c r="V176" t="s">
        <v>47</v>
      </c>
      <c r="W176" t="s">
        <v>48</v>
      </c>
      <c r="X176">
        <v>341.55265680000002</v>
      </c>
    </row>
    <row r="177" spans="1:24" x14ac:dyDescent="0.3">
      <c r="A177" t="s">
        <v>33</v>
      </c>
      <c r="B177" t="s">
        <v>129</v>
      </c>
      <c r="C177">
        <v>92.996884230000006</v>
      </c>
      <c r="D177">
        <v>29</v>
      </c>
      <c r="E177">
        <v>106</v>
      </c>
      <c r="F177">
        <v>1889.07359</v>
      </c>
      <c r="G177" t="s">
        <v>26</v>
      </c>
      <c r="H177">
        <v>16</v>
      </c>
      <c r="I177">
        <v>20</v>
      </c>
      <c r="J177">
        <v>56</v>
      </c>
      <c r="K177">
        <v>10</v>
      </c>
      <c r="L177" t="s">
        <v>43</v>
      </c>
      <c r="M177">
        <v>2.4738977609999999</v>
      </c>
      <c r="N177" t="s">
        <v>39</v>
      </c>
      <c r="O177" t="s">
        <v>62</v>
      </c>
      <c r="P177">
        <v>25</v>
      </c>
      <c r="Q177">
        <v>759</v>
      </c>
      <c r="R177">
        <v>11</v>
      </c>
      <c r="S177">
        <v>48.064782639999997</v>
      </c>
      <c r="T177" t="s">
        <v>64</v>
      </c>
      <c r="U177">
        <v>2.0300690889999999</v>
      </c>
      <c r="V177" t="s">
        <v>40</v>
      </c>
      <c r="W177" t="s">
        <v>41</v>
      </c>
      <c r="X177">
        <v>873.12964799999997</v>
      </c>
    </row>
    <row r="178" spans="1:24" x14ac:dyDescent="0.3">
      <c r="A178" t="s">
        <v>24</v>
      </c>
      <c r="B178" t="s">
        <v>130</v>
      </c>
      <c r="C178">
        <v>69.108799550000001</v>
      </c>
      <c r="D178">
        <v>23</v>
      </c>
      <c r="E178">
        <v>241</v>
      </c>
      <c r="F178">
        <v>5328.3759840000002</v>
      </c>
      <c r="G178" t="s">
        <v>55</v>
      </c>
      <c r="H178">
        <v>38</v>
      </c>
      <c r="I178">
        <v>1</v>
      </c>
      <c r="J178">
        <v>22</v>
      </c>
      <c r="K178">
        <v>10</v>
      </c>
      <c r="L178" t="s">
        <v>36</v>
      </c>
      <c r="M178">
        <v>7.0545383370000003</v>
      </c>
      <c r="N178" t="s">
        <v>61</v>
      </c>
      <c r="O178" t="s">
        <v>53</v>
      </c>
      <c r="P178">
        <v>25</v>
      </c>
      <c r="Q178">
        <v>985</v>
      </c>
      <c r="R178">
        <v>24</v>
      </c>
      <c r="S178">
        <v>64.323597800000002</v>
      </c>
      <c r="T178" t="s">
        <v>30</v>
      </c>
      <c r="U178">
        <v>2.1800374520000001</v>
      </c>
      <c r="V178" t="s">
        <v>47</v>
      </c>
      <c r="W178" t="s">
        <v>48</v>
      </c>
      <c r="X178">
        <v>997.41345009999998</v>
      </c>
    </row>
    <row r="179" spans="1:24" x14ac:dyDescent="0.3">
      <c r="A179" t="s">
        <v>24</v>
      </c>
      <c r="B179" t="s">
        <v>131</v>
      </c>
      <c r="C179">
        <v>57.449742960000002</v>
      </c>
      <c r="D179">
        <v>14</v>
      </c>
      <c r="E179">
        <v>359</v>
      </c>
      <c r="F179">
        <v>2483.760178</v>
      </c>
      <c r="G179" t="s">
        <v>38</v>
      </c>
      <c r="H179">
        <v>96</v>
      </c>
      <c r="I179">
        <v>28</v>
      </c>
      <c r="J179">
        <v>57</v>
      </c>
      <c r="K179">
        <v>4</v>
      </c>
      <c r="L179" t="s">
        <v>27</v>
      </c>
      <c r="M179">
        <v>6.7809466260000004</v>
      </c>
      <c r="N179" t="s">
        <v>39</v>
      </c>
      <c r="O179" t="s">
        <v>45</v>
      </c>
      <c r="P179">
        <v>26</v>
      </c>
      <c r="Q179">
        <v>334</v>
      </c>
      <c r="R179">
        <v>5</v>
      </c>
      <c r="S179">
        <v>42.952444749999998</v>
      </c>
      <c r="T179" t="s">
        <v>64</v>
      </c>
      <c r="U179">
        <v>3.0551418180000001</v>
      </c>
      <c r="V179" t="s">
        <v>31</v>
      </c>
      <c r="W179" t="s">
        <v>32</v>
      </c>
      <c r="X179">
        <v>852.5680989</v>
      </c>
    </row>
    <row r="180" spans="1:24" x14ac:dyDescent="0.3">
      <c r="A180" t="s">
        <v>24</v>
      </c>
      <c r="B180" t="s">
        <v>132</v>
      </c>
      <c r="C180">
        <v>6.3068831760000004</v>
      </c>
      <c r="D180">
        <v>50</v>
      </c>
      <c r="E180">
        <v>946</v>
      </c>
      <c r="F180">
        <v>1292.4584179999999</v>
      </c>
      <c r="G180" t="s">
        <v>38</v>
      </c>
      <c r="H180">
        <v>5</v>
      </c>
      <c r="I180">
        <v>4</v>
      </c>
      <c r="J180">
        <v>51</v>
      </c>
      <c r="K180">
        <v>5</v>
      </c>
      <c r="L180" t="s">
        <v>27</v>
      </c>
      <c r="M180">
        <v>8.4670497709999992</v>
      </c>
      <c r="N180" t="s">
        <v>44</v>
      </c>
      <c r="O180" t="s">
        <v>29</v>
      </c>
      <c r="P180">
        <v>25</v>
      </c>
      <c r="Q180">
        <v>858</v>
      </c>
      <c r="R180">
        <v>21</v>
      </c>
      <c r="S180">
        <v>71.126514720000003</v>
      </c>
      <c r="T180" t="s">
        <v>30</v>
      </c>
      <c r="U180">
        <v>4.0968813319999997</v>
      </c>
      <c r="V180" t="s">
        <v>56</v>
      </c>
      <c r="W180" t="s">
        <v>41</v>
      </c>
      <c r="X180">
        <v>323.59220340000002</v>
      </c>
    </row>
    <row r="181" spans="1:24" x14ac:dyDescent="0.3">
      <c r="A181" t="s">
        <v>24</v>
      </c>
      <c r="B181" t="s">
        <v>133</v>
      </c>
      <c r="C181">
        <v>57.057031219999999</v>
      </c>
      <c r="D181">
        <v>56</v>
      </c>
      <c r="E181">
        <v>198</v>
      </c>
      <c r="F181">
        <v>7888.7232679999997</v>
      </c>
      <c r="G181" t="s">
        <v>26</v>
      </c>
      <c r="H181">
        <v>31</v>
      </c>
      <c r="I181">
        <v>25</v>
      </c>
      <c r="J181">
        <v>20</v>
      </c>
      <c r="K181">
        <v>1</v>
      </c>
      <c r="L181" t="s">
        <v>27</v>
      </c>
      <c r="M181">
        <v>6.4963253639999996</v>
      </c>
      <c r="N181" t="s">
        <v>28</v>
      </c>
      <c r="O181" t="s">
        <v>53</v>
      </c>
      <c r="P181">
        <v>5</v>
      </c>
      <c r="Q181">
        <v>228</v>
      </c>
      <c r="R181">
        <v>12</v>
      </c>
      <c r="S181">
        <v>57.870902919999999</v>
      </c>
      <c r="T181" t="s">
        <v>30</v>
      </c>
      <c r="U181">
        <v>0.16587162699999999</v>
      </c>
      <c r="V181" t="s">
        <v>40</v>
      </c>
      <c r="W181" t="s">
        <v>41</v>
      </c>
      <c r="X181">
        <v>351.50421929999999</v>
      </c>
    </row>
    <row r="182" spans="1:24" x14ac:dyDescent="0.3">
      <c r="A182" t="s">
        <v>33</v>
      </c>
      <c r="B182" t="s">
        <v>134</v>
      </c>
      <c r="C182">
        <v>91.128318350000001</v>
      </c>
      <c r="D182">
        <v>75</v>
      </c>
      <c r="E182">
        <v>872</v>
      </c>
      <c r="F182">
        <v>8651.6726830000007</v>
      </c>
      <c r="G182" t="s">
        <v>38</v>
      </c>
      <c r="H182">
        <v>39</v>
      </c>
      <c r="I182">
        <v>14</v>
      </c>
      <c r="J182">
        <v>41</v>
      </c>
      <c r="K182">
        <v>2</v>
      </c>
      <c r="L182" t="s">
        <v>43</v>
      </c>
      <c r="M182">
        <v>2.8331846789999999</v>
      </c>
      <c r="N182" t="s">
        <v>28</v>
      </c>
      <c r="O182" t="s">
        <v>62</v>
      </c>
      <c r="P182">
        <v>8</v>
      </c>
      <c r="Q182">
        <v>202</v>
      </c>
      <c r="R182">
        <v>5</v>
      </c>
      <c r="S182">
        <v>76.961228019999993</v>
      </c>
      <c r="T182" t="s">
        <v>46</v>
      </c>
      <c r="U182">
        <v>2.849662199</v>
      </c>
      <c r="V182" t="s">
        <v>56</v>
      </c>
      <c r="W182" t="s">
        <v>32</v>
      </c>
      <c r="X182">
        <v>787.77985049999995</v>
      </c>
    </row>
    <row r="183" spans="1:24" x14ac:dyDescent="0.3">
      <c r="A183" t="s">
        <v>24</v>
      </c>
      <c r="B183" t="s">
        <v>135</v>
      </c>
      <c r="C183">
        <v>72.819206930000007</v>
      </c>
      <c r="D183">
        <v>9</v>
      </c>
      <c r="E183">
        <v>774</v>
      </c>
      <c r="F183">
        <v>4384.4134000000004</v>
      </c>
      <c r="G183" t="s">
        <v>38</v>
      </c>
      <c r="H183">
        <v>48</v>
      </c>
      <c r="I183">
        <v>6</v>
      </c>
      <c r="J183">
        <v>8</v>
      </c>
      <c r="K183">
        <v>5</v>
      </c>
      <c r="L183" t="s">
        <v>27</v>
      </c>
      <c r="M183">
        <v>4.0662775020000002</v>
      </c>
      <c r="N183" t="s">
        <v>28</v>
      </c>
      <c r="O183" t="s">
        <v>50</v>
      </c>
      <c r="P183">
        <v>28</v>
      </c>
      <c r="Q183">
        <v>698</v>
      </c>
      <c r="R183">
        <v>1</v>
      </c>
      <c r="S183">
        <v>19.789592939999999</v>
      </c>
      <c r="T183" t="s">
        <v>30</v>
      </c>
      <c r="U183">
        <v>2.5475471220000001</v>
      </c>
      <c r="V183" t="s">
        <v>47</v>
      </c>
      <c r="W183" t="s">
        <v>32</v>
      </c>
      <c r="X183">
        <v>276.7783359</v>
      </c>
    </row>
    <row r="184" spans="1:24" x14ac:dyDescent="0.3">
      <c r="A184" t="s">
        <v>33</v>
      </c>
      <c r="B184" t="s">
        <v>136</v>
      </c>
      <c r="C184">
        <v>17.03493074</v>
      </c>
      <c r="D184">
        <v>13</v>
      </c>
      <c r="E184">
        <v>336</v>
      </c>
      <c r="F184">
        <v>2943.3818679999999</v>
      </c>
      <c r="G184" t="s">
        <v>38</v>
      </c>
      <c r="H184">
        <v>42</v>
      </c>
      <c r="I184">
        <v>19</v>
      </c>
      <c r="J184">
        <v>72</v>
      </c>
      <c r="K184">
        <v>1</v>
      </c>
      <c r="L184" t="s">
        <v>36</v>
      </c>
      <c r="M184">
        <v>4.7081818740000001</v>
      </c>
      <c r="N184" t="s">
        <v>61</v>
      </c>
      <c r="O184" t="s">
        <v>29</v>
      </c>
      <c r="P184">
        <v>6</v>
      </c>
      <c r="Q184">
        <v>955</v>
      </c>
      <c r="R184">
        <v>26</v>
      </c>
      <c r="S184">
        <v>4.4652784350000001</v>
      </c>
      <c r="T184" t="s">
        <v>30</v>
      </c>
      <c r="U184">
        <v>4.1378770490000001</v>
      </c>
      <c r="V184" t="s">
        <v>31</v>
      </c>
      <c r="W184" t="s">
        <v>41</v>
      </c>
      <c r="X184">
        <v>589.97855560000005</v>
      </c>
    </row>
    <row r="185" spans="1:24" x14ac:dyDescent="0.3">
      <c r="A185" t="s">
        <v>24</v>
      </c>
      <c r="B185" t="s">
        <v>137</v>
      </c>
      <c r="C185">
        <v>68.911246210000002</v>
      </c>
      <c r="D185">
        <v>82</v>
      </c>
      <c r="E185">
        <v>663</v>
      </c>
      <c r="F185">
        <v>2411.7546320000001</v>
      </c>
      <c r="G185" t="s">
        <v>38</v>
      </c>
      <c r="H185">
        <v>65</v>
      </c>
      <c r="I185">
        <v>24</v>
      </c>
      <c r="J185">
        <v>7</v>
      </c>
      <c r="K185">
        <v>8</v>
      </c>
      <c r="L185" t="s">
        <v>27</v>
      </c>
      <c r="M185">
        <v>4.9498395779999997</v>
      </c>
      <c r="N185" t="s">
        <v>39</v>
      </c>
      <c r="O185" t="s">
        <v>53</v>
      </c>
      <c r="P185">
        <v>20</v>
      </c>
      <c r="Q185">
        <v>443</v>
      </c>
      <c r="R185">
        <v>5</v>
      </c>
      <c r="S185">
        <v>97.730593799999994</v>
      </c>
      <c r="T185" t="s">
        <v>46</v>
      </c>
      <c r="U185">
        <v>0.77300613399999996</v>
      </c>
      <c r="V185" t="s">
        <v>31</v>
      </c>
      <c r="W185" t="s">
        <v>48</v>
      </c>
      <c r="X185">
        <v>682.9710182</v>
      </c>
    </row>
    <row r="186" spans="1:24" x14ac:dyDescent="0.3">
      <c r="A186" t="s">
        <v>24</v>
      </c>
      <c r="B186" t="s">
        <v>138</v>
      </c>
      <c r="C186">
        <v>89.104367289999999</v>
      </c>
      <c r="D186">
        <v>99</v>
      </c>
      <c r="E186">
        <v>618</v>
      </c>
      <c r="F186">
        <v>2048.2901000000002</v>
      </c>
      <c r="G186" t="s">
        <v>38</v>
      </c>
      <c r="H186">
        <v>73</v>
      </c>
      <c r="I186">
        <v>26</v>
      </c>
      <c r="J186">
        <v>80</v>
      </c>
      <c r="K186">
        <v>10</v>
      </c>
      <c r="L186" t="s">
        <v>36</v>
      </c>
      <c r="M186">
        <v>8.3816156250000002</v>
      </c>
      <c r="N186" t="s">
        <v>44</v>
      </c>
      <c r="O186" t="s">
        <v>62</v>
      </c>
      <c r="P186">
        <v>24</v>
      </c>
      <c r="Q186">
        <v>589</v>
      </c>
      <c r="R186">
        <v>22</v>
      </c>
      <c r="S186">
        <v>33.808636509999999</v>
      </c>
      <c r="T186" t="s">
        <v>64</v>
      </c>
      <c r="U186">
        <v>4.8434565770000004</v>
      </c>
      <c r="V186" t="s">
        <v>40</v>
      </c>
      <c r="W186" t="s">
        <v>32</v>
      </c>
      <c r="X186">
        <v>465.45700599999998</v>
      </c>
    </row>
    <row r="187" spans="1:24" x14ac:dyDescent="0.3">
      <c r="A187" t="s">
        <v>57</v>
      </c>
      <c r="B187" t="s">
        <v>139</v>
      </c>
      <c r="C187">
        <v>76.962994420000001</v>
      </c>
      <c r="D187">
        <v>83</v>
      </c>
      <c r="E187">
        <v>25</v>
      </c>
      <c r="F187">
        <v>8684.6130589999993</v>
      </c>
      <c r="G187" t="s">
        <v>35</v>
      </c>
      <c r="H187">
        <v>15</v>
      </c>
      <c r="I187">
        <v>18</v>
      </c>
      <c r="J187">
        <v>66</v>
      </c>
      <c r="K187">
        <v>2</v>
      </c>
      <c r="L187" t="s">
        <v>43</v>
      </c>
      <c r="M187">
        <v>8.2491687050000007</v>
      </c>
      <c r="N187" t="s">
        <v>44</v>
      </c>
      <c r="O187" t="s">
        <v>62</v>
      </c>
      <c r="P187">
        <v>4</v>
      </c>
      <c r="Q187">
        <v>211</v>
      </c>
      <c r="R187">
        <v>2</v>
      </c>
      <c r="S187">
        <v>69.929345519999998</v>
      </c>
      <c r="T187" t="s">
        <v>46</v>
      </c>
      <c r="U187">
        <v>1.3744289999999999</v>
      </c>
      <c r="V187" t="s">
        <v>31</v>
      </c>
      <c r="W187" t="s">
        <v>32</v>
      </c>
      <c r="X187">
        <v>842.68682999999999</v>
      </c>
    </row>
    <row r="188" spans="1:24" x14ac:dyDescent="0.3">
      <c r="A188" t="s">
        <v>33</v>
      </c>
      <c r="B188" t="s">
        <v>140</v>
      </c>
      <c r="C188">
        <v>19.99817694</v>
      </c>
      <c r="D188">
        <v>18</v>
      </c>
      <c r="E188">
        <v>223</v>
      </c>
      <c r="F188">
        <v>1229.5910289999999</v>
      </c>
      <c r="G188" t="s">
        <v>38</v>
      </c>
      <c r="H188">
        <v>32</v>
      </c>
      <c r="I188">
        <v>14</v>
      </c>
      <c r="J188">
        <v>22</v>
      </c>
      <c r="K188">
        <v>6</v>
      </c>
      <c r="L188" t="s">
        <v>27</v>
      </c>
      <c r="M188">
        <v>1.4543053100000001</v>
      </c>
      <c r="N188" t="s">
        <v>39</v>
      </c>
      <c r="O188" t="s">
        <v>29</v>
      </c>
      <c r="P188">
        <v>4</v>
      </c>
      <c r="Q188">
        <v>569</v>
      </c>
      <c r="R188">
        <v>18</v>
      </c>
      <c r="S188">
        <v>74.608969999999999</v>
      </c>
      <c r="T188" t="s">
        <v>64</v>
      </c>
      <c r="U188">
        <v>2.051512931</v>
      </c>
      <c r="V188" t="s">
        <v>47</v>
      </c>
      <c r="W188" t="s">
        <v>48</v>
      </c>
      <c r="X188">
        <v>264.2548898</v>
      </c>
    </row>
    <row r="189" spans="1:24" x14ac:dyDescent="0.3">
      <c r="A189" t="s">
        <v>24</v>
      </c>
      <c r="B189" t="s">
        <v>141</v>
      </c>
      <c r="C189">
        <v>80.41403665</v>
      </c>
      <c r="D189">
        <v>24</v>
      </c>
      <c r="E189">
        <v>79</v>
      </c>
      <c r="F189">
        <v>5133.8467010000004</v>
      </c>
      <c r="G189" t="s">
        <v>55</v>
      </c>
      <c r="H189">
        <v>5</v>
      </c>
      <c r="I189">
        <v>7</v>
      </c>
      <c r="J189">
        <v>55</v>
      </c>
      <c r="K189">
        <v>10</v>
      </c>
      <c r="L189" t="s">
        <v>36</v>
      </c>
      <c r="M189">
        <v>6.5758037979999999</v>
      </c>
      <c r="N189" t="s">
        <v>28</v>
      </c>
      <c r="O189" t="s">
        <v>62</v>
      </c>
      <c r="P189">
        <v>27</v>
      </c>
      <c r="Q189">
        <v>523</v>
      </c>
      <c r="R189">
        <v>17</v>
      </c>
      <c r="S189">
        <v>28.696996819999999</v>
      </c>
      <c r="T189" t="s">
        <v>46</v>
      </c>
      <c r="U189">
        <v>3.693737788</v>
      </c>
      <c r="V189" t="s">
        <v>56</v>
      </c>
      <c r="W189" t="s">
        <v>32</v>
      </c>
      <c r="X189">
        <v>879.35921770000004</v>
      </c>
    </row>
    <row r="190" spans="1:24" x14ac:dyDescent="0.3">
      <c r="A190" t="s">
        <v>57</v>
      </c>
      <c r="B190" t="s">
        <v>142</v>
      </c>
      <c r="C190">
        <v>75.270406980000004</v>
      </c>
      <c r="D190">
        <v>58</v>
      </c>
      <c r="E190">
        <v>737</v>
      </c>
      <c r="F190">
        <v>9444.7420330000004</v>
      </c>
      <c r="G190" t="s">
        <v>55</v>
      </c>
      <c r="H190">
        <v>60</v>
      </c>
      <c r="I190">
        <v>18</v>
      </c>
      <c r="J190">
        <v>85</v>
      </c>
      <c r="K190">
        <v>7</v>
      </c>
      <c r="L190" t="s">
        <v>36</v>
      </c>
      <c r="M190">
        <v>3.8012531329999999</v>
      </c>
      <c r="N190" t="s">
        <v>61</v>
      </c>
      <c r="O190" t="s">
        <v>29</v>
      </c>
      <c r="P190">
        <v>21</v>
      </c>
      <c r="Q190">
        <v>953</v>
      </c>
      <c r="R190">
        <v>11</v>
      </c>
      <c r="S190">
        <v>68.184919059999999</v>
      </c>
      <c r="T190" t="s">
        <v>30</v>
      </c>
      <c r="U190">
        <v>0.72220440200000002</v>
      </c>
      <c r="V190" t="s">
        <v>56</v>
      </c>
      <c r="W190" t="s">
        <v>48</v>
      </c>
      <c r="X190">
        <v>103.916248</v>
      </c>
    </row>
    <row r="191" spans="1:24" x14ac:dyDescent="0.3">
      <c r="A191" t="s">
        <v>57</v>
      </c>
      <c r="B191" t="s">
        <v>143</v>
      </c>
      <c r="C191">
        <v>97.760085579999995</v>
      </c>
      <c r="D191">
        <v>10</v>
      </c>
      <c r="E191">
        <v>134</v>
      </c>
      <c r="F191">
        <v>5924.6825669999998</v>
      </c>
      <c r="G191" t="s">
        <v>38</v>
      </c>
      <c r="H191">
        <v>90</v>
      </c>
      <c r="I191">
        <v>1</v>
      </c>
      <c r="J191">
        <v>27</v>
      </c>
      <c r="K191">
        <v>8</v>
      </c>
      <c r="L191" t="s">
        <v>27</v>
      </c>
      <c r="M191">
        <v>9.9298162449999996</v>
      </c>
      <c r="N191" t="s">
        <v>39</v>
      </c>
      <c r="O191" t="s">
        <v>45</v>
      </c>
      <c r="P191">
        <v>23</v>
      </c>
      <c r="Q191">
        <v>370</v>
      </c>
      <c r="R191">
        <v>11</v>
      </c>
      <c r="S191">
        <v>46.603873380000003</v>
      </c>
      <c r="T191" t="s">
        <v>30</v>
      </c>
      <c r="U191">
        <v>1.9076657340000001</v>
      </c>
      <c r="V191" t="s">
        <v>47</v>
      </c>
      <c r="W191" t="s">
        <v>32</v>
      </c>
      <c r="X191">
        <v>517.49997389999999</v>
      </c>
    </row>
    <row r="192" spans="1:24" x14ac:dyDescent="0.3">
      <c r="A192" t="s">
        <v>33</v>
      </c>
      <c r="B192" t="s">
        <v>144</v>
      </c>
      <c r="C192">
        <v>13.8819135</v>
      </c>
      <c r="D192">
        <v>56</v>
      </c>
      <c r="E192">
        <v>320</v>
      </c>
      <c r="F192">
        <v>9592.63357</v>
      </c>
      <c r="G192" t="s">
        <v>26</v>
      </c>
      <c r="H192">
        <v>66</v>
      </c>
      <c r="I192">
        <v>18</v>
      </c>
      <c r="J192">
        <v>96</v>
      </c>
      <c r="K192">
        <v>7</v>
      </c>
      <c r="L192" t="s">
        <v>27</v>
      </c>
      <c r="M192">
        <v>7.674430708</v>
      </c>
      <c r="N192" t="s">
        <v>28</v>
      </c>
      <c r="O192" t="s">
        <v>53</v>
      </c>
      <c r="P192">
        <v>8</v>
      </c>
      <c r="Q192">
        <v>585</v>
      </c>
      <c r="R192">
        <v>8</v>
      </c>
      <c r="S192">
        <v>85.675963339999996</v>
      </c>
      <c r="T192" t="s">
        <v>64</v>
      </c>
      <c r="U192">
        <v>1.2193822240000001</v>
      </c>
      <c r="V192" t="s">
        <v>47</v>
      </c>
      <c r="W192" t="s">
        <v>32</v>
      </c>
      <c r="X192">
        <v>990.07847249999998</v>
      </c>
    </row>
    <row r="193" spans="1:24" x14ac:dyDescent="0.3">
      <c r="A193" t="s">
        <v>57</v>
      </c>
      <c r="B193" t="s">
        <v>145</v>
      </c>
      <c r="C193">
        <v>62.11196546</v>
      </c>
      <c r="D193">
        <v>90</v>
      </c>
      <c r="E193">
        <v>916</v>
      </c>
      <c r="F193">
        <v>1935.2067939999999</v>
      </c>
      <c r="G193" t="s">
        <v>55</v>
      </c>
      <c r="H193">
        <v>98</v>
      </c>
      <c r="I193">
        <v>22</v>
      </c>
      <c r="J193">
        <v>85</v>
      </c>
      <c r="K193">
        <v>7</v>
      </c>
      <c r="L193" t="s">
        <v>27</v>
      </c>
      <c r="M193">
        <v>7.4715140839999998</v>
      </c>
      <c r="N193" t="s">
        <v>52</v>
      </c>
      <c r="O193" t="s">
        <v>50</v>
      </c>
      <c r="P193">
        <v>5</v>
      </c>
      <c r="Q193">
        <v>207</v>
      </c>
      <c r="R193">
        <v>28</v>
      </c>
      <c r="S193">
        <v>39.772882500000001</v>
      </c>
      <c r="T193" t="s">
        <v>30</v>
      </c>
      <c r="U193">
        <v>0.62600185799999997</v>
      </c>
      <c r="V193" t="s">
        <v>47</v>
      </c>
      <c r="W193" t="s">
        <v>32</v>
      </c>
      <c r="X193">
        <v>996.77831500000002</v>
      </c>
    </row>
    <row r="194" spans="1:24" x14ac:dyDescent="0.3">
      <c r="A194" t="s">
        <v>57</v>
      </c>
      <c r="B194" t="s">
        <v>146</v>
      </c>
      <c r="C194">
        <v>47.71423308</v>
      </c>
      <c r="D194">
        <v>44</v>
      </c>
      <c r="E194">
        <v>276</v>
      </c>
      <c r="F194">
        <v>2100.1297549999999</v>
      </c>
      <c r="G194" t="s">
        <v>55</v>
      </c>
      <c r="H194">
        <v>90</v>
      </c>
      <c r="I194">
        <v>25</v>
      </c>
      <c r="J194">
        <v>10</v>
      </c>
      <c r="K194">
        <v>8</v>
      </c>
      <c r="L194" t="s">
        <v>27</v>
      </c>
      <c r="M194">
        <v>4.4695000260000004</v>
      </c>
      <c r="N194" t="s">
        <v>61</v>
      </c>
      <c r="O194" t="s">
        <v>29</v>
      </c>
      <c r="P194">
        <v>4</v>
      </c>
      <c r="Q194">
        <v>671</v>
      </c>
      <c r="R194">
        <v>29</v>
      </c>
      <c r="S194">
        <v>62.612690399999998</v>
      </c>
      <c r="T194" t="s">
        <v>64</v>
      </c>
      <c r="U194">
        <v>0.33343182500000002</v>
      </c>
      <c r="V194" t="s">
        <v>47</v>
      </c>
      <c r="W194" t="s">
        <v>32</v>
      </c>
      <c r="X194">
        <v>230.0927825</v>
      </c>
    </row>
    <row r="195" spans="1:24" x14ac:dyDescent="0.3">
      <c r="A195" t="s">
        <v>24</v>
      </c>
      <c r="B195" t="s">
        <v>147</v>
      </c>
      <c r="C195">
        <v>69.290830999999997</v>
      </c>
      <c r="D195">
        <v>88</v>
      </c>
      <c r="E195">
        <v>114</v>
      </c>
      <c r="F195">
        <v>4531.4021339999999</v>
      </c>
      <c r="G195" t="s">
        <v>38</v>
      </c>
      <c r="H195">
        <v>63</v>
      </c>
      <c r="I195">
        <v>17</v>
      </c>
      <c r="J195">
        <v>66</v>
      </c>
      <c r="K195">
        <v>1</v>
      </c>
      <c r="L195" t="s">
        <v>43</v>
      </c>
      <c r="M195">
        <v>7.0064320589999998</v>
      </c>
      <c r="N195" t="s">
        <v>52</v>
      </c>
      <c r="O195" t="s">
        <v>62</v>
      </c>
      <c r="P195">
        <v>21</v>
      </c>
      <c r="Q195">
        <v>824</v>
      </c>
      <c r="R195">
        <v>20</v>
      </c>
      <c r="S195">
        <v>35.633652339999998</v>
      </c>
      <c r="T195" t="s">
        <v>46</v>
      </c>
      <c r="U195">
        <v>4.165781795</v>
      </c>
      <c r="V195" t="s">
        <v>40</v>
      </c>
      <c r="W195" t="s">
        <v>48</v>
      </c>
      <c r="X195">
        <v>823.52384589999997</v>
      </c>
    </row>
    <row r="196" spans="1:24" x14ac:dyDescent="0.3">
      <c r="A196" t="s">
        <v>57</v>
      </c>
      <c r="B196" t="s">
        <v>148</v>
      </c>
      <c r="C196">
        <v>3.0376887250000002</v>
      </c>
      <c r="D196">
        <v>97</v>
      </c>
      <c r="E196">
        <v>987</v>
      </c>
      <c r="F196">
        <v>7888.3565470000003</v>
      </c>
      <c r="G196" t="s">
        <v>38</v>
      </c>
      <c r="H196">
        <v>77</v>
      </c>
      <c r="I196">
        <v>26</v>
      </c>
      <c r="J196">
        <v>72</v>
      </c>
      <c r="K196">
        <v>9</v>
      </c>
      <c r="L196" t="s">
        <v>27</v>
      </c>
      <c r="M196">
        <v>6.9429459419999997</v>
      </c>
      <c r="N196" t="s">
        <v>61</v>
      </c>
      <c r="O196" t="s">
        <v>50</v>
      </c>
      <c r="P196">
        <v>12</v>
      </c>
      <c r="Q196">
        <v>908</v>
      </c>
      <c r="R196">
        <v>14</v>
      </c>
      <c r="S196">
        <v>60.387378609999999</v>
      </c>
      <c r="T196" t="s">
        <v>64</v>
      </c>
      <c r="U196">
        <v>1.463607498</v>
      </c>
      <c r="V196" t="s">
        <v>47</v>
      </c>
      <c r="W196" t="s">
        <v>32</v>
      </c>
      <c r="X196">
        <v>846.665257</v>
      </c>
    </row>
    <row r="197" spans="1:24" x14ac:dyDescent="0.3">
      <c r="A197" t="s">
        <v>24</v>
      </c>
      <c r="B197" t="s">
        <v>149</v>
      </c>
      <c r="C197">
        <v>77.90392722</v>
      </c>
      <c r="D197">
        <v>65</v>
      </c>
      <c r="E197">
        <v>672</v>
      </c>
      <c r="F197">
        <v>7386.3639439999997</v>
      </c>
      <c r="G197" t="s">
        <v>38</v>
      </c>
      <c r="H197">
        <v>15</v>
      </c>
      <c r="I197">
        <v>14</v>
      </c>
      <c r="J197">
        <v>26</v>
      </c>
      <c r="K197">
        <v>9</v>
      </c>
      <c r="L197" t="s">
        <v>27</v>
      </c>
      <c r="M197">
        <v>8.6303388699999992</v>
      </c>
      <c r="N197" t="s">
        <v>52</v>
      </c>
      <c r="O197" t="s">
        <v>29</v>
      </c>
      <c r="P197">
        <v>18</v>
      </c>
      <c r="Q197">
        <v>450</v>
      </c>
      <c r="R197">
        <v>26</v>
      </c>
      <c r="S197">
        <v>58.890685769999997</v>
      </c>
      <c r="T197" t="s">
        <v>30</v>
      </c>
      <c r="U197">
        <v>1.2108821299999999</v>
      </c>
      <c r="V197" t="s">
        <v>40</v>
      </c>
      <c r="W197" t="s">
        <v>48</v>
      </c>
      <c r="X197">
        <v>778.86424139999997</v>
      </c>
    </row>
    <row r="198" spans="1:24" x14ac:dyDescent="0.3">
      <c r="A198" t="s">
        <v>57</v>
      </c>
      <c r="B198" t="s">
        <v>150</v>
      </c>
      <c r="C198">
        <v>24.423131420000001</v>
      </c>
      <c r="D198">
        <v>29</v>
      </c>
      <c r="E198">
        <v>324</v>
      </c>
      <c r="F198">
        <v>7698.4247660000001</v>
      </c>
      <c r="G198" t="s">
        <v>26</v>
      </c>
      <c r="H198">
        <v>67</v>
      </c>
      <c r="I198">
        <v>2</v>
      </c>
      <c r="J198">
        <v>32</v>
      </c>
      <c r="K198">
        <v>3</v>
      </c>
      <c r="L198" t="s">
        <v>43</v>
      </c>
      <c r="M198">
        <v>5.3528780439999997</v>
      </c>
      <c r="N198" t="s">
        <v>28</v>
      </c>
      <c r="O198" t="s">
        <v>29</v>
      </c>
      <c r="P198">
        <v>28</v>
      </c>
      <c r="Q198">
        <v>648</v>
      </c>
      <c r="R198">
        <v>28</v>
      </c>
      <c r="S198">
        <v>17.803756329999999</v>
      </c>
      <c r="T198" t="s">
        <v>30</v>
      </c>
      <c r="U198">
        <v>3.8720476810000002</v>
      </c>
      <c r="V198" t="s">
        <v>31</v>
      </c>
      <c r="W198" t="s">
        <v>48</v>
      </c>
      <c r="X198">
        <v>188.7421411</v>
      </c>
    </row>
    <row r="199" spans="1:24" x14ac:dyDescent="0.3">
      <c r="A199" t="s">
        <v>24</v>
      </c>
      <c r="B199" t="s">
        <v>151</v>
      </c>
      <c r="C199">
        <v>3.5261112589999999</v>
      </c>
      <c r="D199">
        <v>56</v>
      </c>
      <c r="E199">
        <v>62</v>
      </c>
      <c r="F199">
        <v>4370.9165800000001</v>
      </c>
      <c r="G199" t="s">
        <v>55</v>
      </c>
      <c r="H199">
        <v>46</v>
      </c>
      <c r="I199">
        <v>19</v>
      </c>
      <c r="J199">
        <v>4</v>
      </c>
      <c r="K199">
        <v>9</v>
      </c>
      <c r="L199" t="s">
        <v>36</v>
      </c>
      <c r="M199">
        <v>7.9048456109999998</v>
      </c>
      <c r="N199" t="s">
        <v>52</v>
      </c>
      <c r="O199" t="s">
        <v>29</v>
      </c>
      <c r="P199">
        <v>10</v>
      </c>
      <c r="Q199">
        <v>535</v>
      </c>
      <c r="R199">
        <v>13</v>
      </c>
      <c r="S199">
        <v>65.765155930000006</v>
      </c>
      <c r="T199" t="s">
        <v>46</v>
      </c>
      <c r="U199">
        <v>3.376237835</v>
      </c>
      <c r="V199" t="s">
        <v>31</v>
      </c>
      <c r="W199" t="s">
        <v>48</v>
      </c>
      <c r="X199">
        <v>540.13242290000005</v>
      </c>
    </row>
    <row r="200" spans="1:24" x14ac:dyDescent="0.3">
      <c r="A200" t="s">
        <v>33</v>
      </c>
      <c r="B200" t="s">
        <v>152</v>
      </c>
      <c r="C200">
        <v>19.754604870000001</v>
      </c>
      <c r="D200">
        <v>43</v>
      </c>
      <c r="E200">
        <v>913</v>
      </c>
      <c r="F200">
        <v>8525.9525599999997</v>
      </c>
      <c r="G200" t="s">
        <v>35</v>
      </c>
      <c r="H200">
        <v>53</v>
      </c>
      <c r="I200">
        <v>1</v>
      </c>
      <c r="J200">
        <v>27</v>
      </c>
      <c r="K200">
        <v>7</v>
      </c>
      <c r="L200" t="s">
        <v>27</v>
      </c>
      <c r="M200">
        <v>1.4098010949999999</v>
      </c>
      <c r="N200" t="s">
        <v>44</v>
      </c>
      <c r="O200" t="s">
        <v>62</v>
      </c>
      <c r="P200">
        <v>28</v>
      </c>
      <c r="Q200">
        <v>581</v>
      </c>
      <c r="R200">
        <v>9</v>
      </c>
      <c r="S200">
        <v>5.6046908640000002</v>
      </c>
      <c r="T200" t="s">
        <v>30</v>
      </c>
      <c r="U200">
        <v>2.9081221689999999</v>
      </c>
      <c r="V200" t="s">
        <v>47</v>
      </c>
      <c r="W200" t="s">
        <v>48</v>
      </c>
      <c r="X200">
        <v>882.19886350000002</v>
      </c>
    </row>
    <row r="201" spans="1:24" x14ac:dyDescent="0.3">
      <c r="A201" t="s">
        <v>24</v>
      </c>
      <c r="B201" t="s">
        <v>153</v>
      </c>
      <c r="C201">
        <v>68.5178327</v>
      </c>
      <c r="D201">
        <v>17</v>
      </c>
      <c r="E201">
        <v>627</v>
      </c>
      <c r="F201">
        <v>9185.185829</v>
      </c>
      <c r="G201" t="s">
        <v>38</v>
      </c>
      <c r="H201">
        <v>55</v>
      </c>
      <c r="I201">
        <v>8</v>
      </c>
      <c r="J201">
        <v>59</v>
      </c>
      <c r="K201">
        <v>6</v>
      </c>
      <c r="L201" t="s">
        <v>27</v>
      </c>
      <c r="M201">
        <v>1.311023756</v>
      </c>
      <c r="N201" t="s">
        <v>61</v>
      </c>
      <c r="O201" t="s">
        <v>62</v>
      </c>
      <c r="P201">
        <v>29</v>
      </c>
      <c r="Q201">
        <v>921</v>
      </c>
      <c r="R201">
        <v>2</v>
      </c>
      <c r="S201">
        <v>38.072898520000003</v>
      </c>
      <c r="T201" t="s">
        <v>46</v>
      </c>
      <c r="U201">
        <v>0.34602729100000001</v>
      </c>
      <c r="V201" t="s">
        <v>47</v>
      </c>
      <c r="W201" t="s">
        <v>32</v>
      </c>
      <c r="X201">
        <v>210.743009</v>
      </c>
    </row>
    <row r="202" spans="1:24" x14ac:dyDescent="0.3">
      <c r="A202" t="s">
        <v>24</v>
      </c>
      <c r="B202" t="s">
        <v>25</v>
      </c>
      <c r="C202">
        <v>69.808005539999996</v>
      </c>
      <c r="D202">
        <v>55</v>
      </c>
      <c r="E202">
        <v>802</v>
      </c>
      <c r="F202">
        <v>8661.9967919999999</v>
      </c>
      <c r="G202" t="s">
        <v>26</v>
      </c>
      <c r="H202">
        <v>58</v>
      </c>
      <c r="I202">
        <v>7</v>
      </c>
      <c r="J202">
        <v>96</v>
      </c>
      <c r="K202">
        <v>4</v>
      </c>
      <c r="L202" t="s">
        <v>27</v>
      </c>
      <c r="M202">
        <v>2.9565721389999999</v>
      </c>
      <c r="N202" t="s">
        <v>28</v>
      </c>
      <c r="O202" t="s">
        <v>29</v>
      </c>
      <c r="P202">
        <v>29</v>
      </c>
      <c r="Q202">
        <v>215</v>
      </c>
      <c r="R202">
        <v>29</v>
      </c>
      <c r="S202">
        <v>46.27987924</v>
      </c>
      <c r="T202" t="s">
        <v>30</v>
      </c>
      <c r="U202">
        <v>0.226410361</v>
      </c>
      <c r="V202" t="s">
        <v>31</v>
      </c>
      <c r="W202" t="s">
        <v>32</v>
      </c>
      <c r="X202">
        <v>187.75207549999999</v>
      </c>
    </row>
    <row r="203" spans="1:24" x14ac:dyDescent="0.3">
      <c r="A203" t="s">
        <v>33</v>
      </c>
      <c r="B203" t="s">
        <v>34</v>
      </c>
      <c r="C203">
        <v>14.843523279999999</v>
      </c>
      <c r="D203">
        <v>95</v>
      </c>
      <c r="E203">
        <v>736</v>
      </c>
      <c r="F203">
        <v>7460.9000649999998</v>
      </c>
      <c r="G203" t="s">
        <v>35</v>
      </c>
      <c r="H203">
        <v>53</v>
      </c>
      <c r="I203">
        <v>30</v>
      </c>
      <c r="J203">
        <v>37</v>
      </c>
      <c r="K203">
        <v>2</v>
      </c>
      <c r="L203" t="s">
        <v>36</v>
      </c>
      <c r="M203">
        <v>9.7165747709999994</v>
      </c>
      <c r="N203" t="s">
        <v>28</v>
      </c>
      <c r="O203" t="s">
        <v>29</v>
      </c>
      <c r="P203">
        <v>23</v>
      </c>
      <c r="Q203">
        <v>517</v>
      </c>
      <c r="R203">
        <v>30</v>
      </c>
      <c r="S203">
        <v>33.616768950000001</v>
      </c>
      <c r="T203" t="s">
        <v>30</v>
      </c>
      <c r="U203">
        <v>4.8540680260000002</v>
      </c>
      <c r="V203" t="s">
        <v>31</v>
      </c>
      <c r="W203" t="s">
        <v>32</v>
      </c>
      <c r="X203">
        <v>503.06557909999998</v>
      </c>
    </row>
    <row r="204" spans="1:24" x14ac:dyDescent="0.3">
      <c r="A204" t="s">
        <v>24</v>
      </c>
      <c r="B204" t="s">
        <v>37</v>
      </c>
      <c r="C204">
        <v>11.31968329</v>
      </c>
      <c r="D204">
        <v>34</v>
      </c>
      <c r="E204">
        <v>8</v>
      </c>
      <c r="F204">
        <v>9577.7496260000007</v>
      </c>
      <c r="G204" t="s">
        <v>38</v>
      </c>
      <c r="H204">
        <v>1</v>
      </c>
      <c r="I204">
        <v>10</v>
      </c>
      <c r="J204">
        <v>88</v>
      </c>
      <c r="K204">
        <v>2</v>
      </c>
      <c r="L204" t="s">
        <v>27</v>
      </c>
      <c r="M204">
        <v>8.0544792619999992</v>
      </c>
      <c r="N204" t="s">
        <v>39</v>
      </c>
      <c r="O204" t="s">
        <v>29</v>
      </c>
      <c r="P204">
        <v>12</v>
      </c>
      <c r="Q204">
        <v>971</v>
      </c>
      <c r="R204">
        <v>27</v>
      </c>
      <c r="S204">
        <v>30.688019350000001</v>
      </c>
      <c r="T204" t="s">
        <v>30</v>
      </c>
      <c r="U204">
        <v>4.5805926189999999</v>
      </c>
      <c r="V204" t="s">
        <v>40</v>
      </c>
      <c r="W204" t="s">
        <v>41</v>
      </c>
      <c r="X204">
        <v>141.9202818</v>
      </c>
    </row>
    <row r="205" spans="1:24" x14ac:dyDescent="0.3">
      <c r="A205" t="s">
        <v>33</v>
      </c>
      <c r="B205" t="s">
        <v>42</v>
      </c>
      <c r="C205">
        <v>61.163343019999999</v>
      </c>
      <c r="D205">
        <v>68</v>
      </c>
      <c r="E205">
        <v>83</v>
      </c>
      <c r="F205">
        <v>7766.8364259999998</v>
      </c>
      <c r="G205" t="s">
        <v>26</v>
      </c>
      <c r="H205">
        <v>23</v>
      </c>
      <c r="I205">
        <v>13</v>
      </c>
      <c r="J205">
        <v>59</v>
      </c>
      <c r="K205">
        <v>6</v>
      </c>
      <c r="L205" t="s">
        <v>43</v>
      </c>
      <c r="M205">
        <v>1.729568564</v>
      </c>
      <c r="N205" t="s">
        <v>44</v>
      </c>
      <c r="O205" t="s">
        <v>45</v>
      </c>
      <c r="P205">
        <v>24</v>
      </c>
      <c r="Q205">
        <v>937</v>
      </c>
      <c r="R205">
        <v>18</v>
      </c>
      <c r="S205">
        <v>35.624741399999998</v>
      </c>
      <c r="T205" t="s">
        <v>46</v>
      </c>
      <c r="U205">
        <v>4.7466486210000003</v>
      </c>
      <c r="V205" t="s">
        <v>47</v>
      </c>
      <c r="W205" t="s">
        <v>48</v>
      </c>
      <c r="X205">
        <v>254.7761592</v>
      </c>
    </row>
    <row r="206" spans="1:24" x14ac:dyDescent="0.3">
      <c r="A206" t="s">
        <v>33</v>
      </c>
      <c r="B206" t="s">
        <v>49</v>
      </c>
      <c r="C206">
        <v>4.8054960360000001</v>
      </c>
      <c r="D206">
        <v>26</v>
      </c>
      <c r="E206">
        <v>871</v>
      </c>
      <c r="F206">
        <v>2686.5051520000002</v>
      </c>
      <c r="G206" t="s">
        <v>26</v>
      </c>
      <c r="H206">
        <v>5</v>
      </c>
      <c r="I206">
        <v>3</v>
      </c>
      <c r="J206">
        <v>56</v>
      </c>
      <c r="K206">
        <v>8</v>
      </c>
      <c r="L206" t="s">
        <v>36</v>
      </c>
      <c r="M206">
        <v>3.8905479160000001</v>
      </c>
      <c r="N206" t="s">
        <v>39</v>
      </c>
      <c r="O206" t="s">
        <v>50</v>
      </c>
      <c r="P206">
        <v>5</v>
      </c>
      <c r="Q206">
        <v>414</v>
      </c>
      <c r="R206">
        <v>3</v>
      </c>
      <c r="S206">
        <v>92.065160599999999</v>
      </c>
      <c r="T206" t="s">
        <v>46</v>
      </c>
      <c r="U206">
        <v>3.1455795229999999</v>
      </c>
      <c r="V206" t="s">
        <v>40</v>
      </c>
      <c r="W206" t="s">
        <v>48</v>
      </c>
      <c r="X206">
        <v>923.44063170000004</v>
      </c>
    </row>
    <row r="207" spans="1:24" x14ac:dyDescent="0.3">
      <c r="A207" t="s">
        <v>24</v>
      </c>
      <c r="B207" t="s">
        <v>51</v>
      </c>
      <c r="C207">
        <v>1.699976014</v>
      </c>
      <c r="D207">
        <v>87</v>
      </c>
      <c r="E207">
        <v>147</v>
      </c>
      <c r="F207">
        <v>2828.3487460000001</v>
      </c>
      <c r="G207" t="s">
        <v>26</v>
      </c>
      <c r="H207">
        <v>90</v>
      </c>
      <c r="I207">
        <v>27</v>
      </c>
      <c r="J207">
        <v>66</v>
      </c>
      <c r="K207">
        <v>3</v>
      </c>
      <c r="L207" t="s">
        <v>27</v>
      </c>
      <c r="M207">
        <v>4.4440988639999999</v>
      </c>
      <c r="N207" t="s">
        <v>52</v>
      </c>
      <c r="O207" t="s">
        <v>53</v>
      </c>
      <c r="P207">
        <v>10</v>
      </c>
      <c r="Q207">
        <v>104</v>
      </c>
      <c r="R207">
        <v>17</v>
      </c>
      <c r="S207">
        <v>56.766475560000003</v>
      </c>
      <c r="T207" t="s">
        <v>46</v>
      </c>
      <c r="U207">
        <v>2.779193512</v>
      </c>
      <c r="V207" t="s">
        <v>31</v>
      </c>
      <c r="W207" t="s">
        <v>48</v>
      </c>
      <c r="X207">
        <v>235.4612367</v>
      </c>
    </row>
    <row r="208" spans="1:24" x14ac:dyDescent="0.3">
      <c r="A208" t="s">
        <v>33</v>
      </c>
      <c r="B208" t="s">
        <v>54</v>
      </c>
      <c r="C208">
        <v>4.078332863</v>
      </c>
      <c r="D208">
        <v>48</v>
      </c>
      <c r="E208">
        <v>65</v>
      </c>
      <c r="F208">
        <v>7823.4765600000001</v>
      </c>
      <c r="G208" t="s">
        <v>55</v>
      </c>
      <c r="H208">
        <v>11</v>
      </c>
      <c r="I208">
        <v>15</v>
      </c>
      <c r="J208">
        <v>58</v>
      </c>
      <c r="K208">
        <v>8</v>
      </c>
      <c r="L208" t="s">
        <v>43</v>
      </c>
      <c r="M208">
        <v>3.8807633030000002</v>
      </c>
      <c r="N208" t="s">
        <v>28</v>
      </c>
      <c r="O208" t="s">
        <v>45</v>
      </c>
      <c r="P208">
        <v>14</v>
      </c>
      <c r="Q208">
        <v>314</v>
      </c>
      <c r="R208">
        <v>24</v>
      </c>
      <c r="S208">
        <v>1.08506857</v>
      </c>
      <c r="T208" t="s">
        <v>30</v>
      </c>
      <c r="U208">
        <v>1.0009106189999999</v>
      </c>
      <c r="V208" t="s">
        <v>56</v>
      </c>
      <c r="W208" t="s">
        <v>48</v>
      </c>
      <c r="X208">
        <v>134.36909689999999</v>
      </c>
    </row>
    <row r="209" spans="1:24" x14ac:dyDescent="0.3">
      <c r="A209" t="s">
        <v>57</v>
      </c>
      <c r="B209" t="s">
        <v>58</v>
      </c>
      <c r="C209">
        <v>42.958384379999998</v>
      </c>
      <c r="D209">
        <v>59</v>
      </c>
      <c r="E209">
        <v>426</v>
      </c>
      <c r="F209">
        <v>8496.1038129999997</v>
      </c>
      <c r="G209" t="s">
        <v>35</v>
      </c>
      <c r="H209">
        <v>93</v>
      </c>
      <c r="I209">
        <v>17</v>
      </c>
      <c r="J209">
        <v>11</v>
      </c>
      <c r="K209">
        <v>1</v>
      </c>
      <c r="L209" t="s">
        <v>27</v>
      </c>
      <c r="M209">
        <v>2.3483387840000001</v>
      </c>
      <c r="N209" t="s">
        <v>52</v>
      </c>
      <c r="O209" t="s">
        <v>53</v>
      </c>
      <c r="P209">
        <v>22</v>
      </c>
      <c r="Q209">
        <v>564</v>
      </c>
      <c r="R209">
        <v>1</v>
      </c>
      <c r="S209">
        <v>99.466108599999998</v>
      </c>
      <c r="T209" t="s">
        <v>46</v>
      </c>
      <c r="U209">
        <v>0.39817718699999999</v>
      </c>
      <c r="V209" t="s">
        <v>31</v>
      </c>
      <c r="W209" t="s">
        <v>41</v>
      </c>
      <c r="X209">
        <v>802.0563118</v>
      </c>
    </row>
    <row r="210" spans="1:24" x14ac:dyDescent="0.3">
      <c r="A210" t="s">
        <v>57</v>
      </c>
      <c r="B210" t="s">
        <v>59</v>
      </c>
      <c r="C210">
        <v>68.717596749999998</v>
      </c>
      <c r="D210">
        <v>78</v>
      </c>
      <c r="E210">
        <v>150</v>
      </c>
      <c r="F210">
        <v>7517.3632109999999</v>
      </c>
      <c r="G210" t="s">
        <v>35</v>
      </c>
      <c r="H210">
        <v>5</v>
      </c>
      <c r="I210">
        <v>10</v>
      </c>
      <c r="J210">
        <v>15</v>
      </c>
      <c r="K210">
        <v>7</v>
      </c>
      <c r="L210" t="s">
        <v>43</v>
      </c>
      <c r="M210">
        <v>3.4047338570000001</v>
      </c>
      <c r="N210" t="s">
        <v>52</v>
      </c>
      <c r="O210" t="s">
        <v>29</v>
      </c>
      <c r="P210">
        <v>13</v>
      </c>
      <c r="Q210">
        <v>769</v>
      </c>
      <c r="R210">
        <v>8</v>
      </c>
      <c r="S210">
        <v>11.42302714</v>
      </c>
      <c r="T210" t="s">
        <v>30</v>
      </c>
      <c r="U210">
        <v>2.7098626910000001</v>
      </c>
      <c r="V210" t="s">
        <v>56</v>
      </c>
      <c r="W210" t="s">
        <v>32</v>
      </c>
      <c r="X210">
        <v>505.55713420000001</v>
      </c>
    </row>
    <row r="211" spans="1:24" x14ac:dyDescent="0.3">
      <c r="A211" t="s">
        <v>33</v>
      </c>
      <c r="B211" t="s">
        <v>60</v>
      </c>
      <c r="C211">
        <v>64.015732940000007</v>
      </c>
      <c r="D211">
        <v>35</v>
      </c>
      <c r="E211">
        <v>980</v>
      </c>
      <c r="F211">
        <v>4971.1459880000002</v>
      </c>
      <c r="G211" t="s">
        <v>38</v>
      </c>
      <c r="H211">
        <v>14</v>
      </c>
      <c r="I211">
        <v>27</v>
      </c>
      <c r="J211">
        <v>83</v>
      </c>
      <c r="K211">
        <v>1</v>
      </c>
      <c r="L211" t="s">
        <v>36</v>
      </c>
      <c r="M211">
        <v>7.166645291</v>
      </c>
      <c r="N211" t="s">
        <v>61</v>
      </c>
      <c r="O211" t="s">
        <v>62</v>
      </c>
      <c r="P211">
        <v>29</v>
      </c>
      <c r="Q211">
        <v>963</v>
      </c>
      <c r="R211">
        <v>23</v>
      </c>
      <c r="S211">
        <v>47.957601629999999</v>
      </c>
      <c r="T211" t="s">
        <v>30</v>
      </c>
      <c r="U211">
        <v>3.8446144790000001</v>
      </c>
      <c r="V211" t="s">
        <v>47</v>
      </c>
      <c r="W211" t="s">
        <v>32</v>
      </c>
      <c r="X211">
        <v>995.9294615</v>
      </c>
    </row>
    <row r="212" spans="1:24" x14ac:dyDescent="0.3">
      <c r="A212" t="s">
        <v>33</v>
      </c>
      <c r="B212" t="s">
        <v>63</v>
      </c>
      <c r="C212">
        <v>15.70779568</v>
      </c>
      <c r="D212">
        <v>11</v>
      </c>
      <c r="E212">
        <v>996</v>
      </c>
      <c r="F212">
        <v>2330.9658020000002</v>
      </c>
      <c r="G212" t="s">
        <v>26</v>
      </c>
      <c r="H212">
        <v>51</v>
      </c>
      <c r="I212">
        <v>13</v>
      </c>
      <c r="J212">
        <v>80</v>
      </c>
      <c r="K212">
        <v>2</v>
      </c>
      <c r="L212" t="s">
        <v>43</v>
      </c>
      <c r="M212">
        <v>8.6732112109999999</v>
      </c>
      <c r="N212" t="s">
        <v>44</v>
      </c>
      <c r="O212" t="s">
        <v>45</v>
      </c>
      <c r="P212">
        <v>18</v>
      </c>
      <c r="Q212">
        <v>830</v>
      </c>
      <c r="R212">
        <v>5</v>
      </c>
      <c r="S212">
        <v>96.527352789999995</v>
      </c>
      <c r="T212" t="s">
        <v>64</v>
      </c>
      <c r="U212">
        <v>1.7273139280000001</v>
      </c>
      <c r="V212" t="s">
        <v>31</v>
      </c>
      <c r="W212" t="s">
        <v>32</v>
      </c>
      <c r="X212">
        <v>806.10317769999995</v>
      </c>
    </row>
    <row r="213" spans="1:24" x14ac:dyDescent="0.3">
      <c r="A213" t="s">
        <v>33</v>
      </c>
      <c r="B213" t="s">
        <v>65</v>
      </c>
      <c r="C213">
        <v>90.635459979999993</v>
      </c>
      <c r="D213">
        <v>95</v>
      </c>
      <c r="E213">
        <v>960</v>
      </c>
      <c r="F213">
        <v>6099.9441159999997</v>
      </c>
      <c r="G213" t="s">
        <v>35</v>
      </c>
      <c r="H213">
        <v>46</v>
      </c>
      <c r="I213">
        <v>23</v>
      </c>
      <c r="J213">
        <v>60</v>
      </c>
      <c r="K213">
        <v>1</v>
      </c>
      <c r="L213" t="s">
        <v>36</v>
      </c>
      <c r="M213">
        <v>4.5239431239999996</v>
      </c>
      <c r="N213" t="s">
        <v>61</v>
      </c>
      <c r="O213" t="s">
        <v>45</v>
      </c>
      <c r="P213">
        <v>28</v>
      </c>
      <c r="Q213">
        <v>362</v>
      </c>
      <c r="R213">
        <v>11</v>
      </c>
      <c r="S213">
        <v>27.592363089999999</v>
      </c>
      <c r="T213" t="s">
        <v>30</v>
      </c>
      <c r="U213">
        <v>2.1169820999999998E-2</v>
      </c>
      <c r="V213" t="s">
        <v>40</v>
      </c>
      <c r="W213" t="s">
        <v>48</v>
      </c>
      <c r="X213">
        <v>126.72303340000001</v>
      </c>
    </row>
    <row r="214" spans="1:24" x14ac:dyDescent="0.3">
      <c r="A214" t="s">
        <v>24</v>
      </c>
      <c r="B214" t="s">
        <v>66</v>
      </c>
      <c r="C214">
        <v>71.213389079999999</v>
      </c>
      <c r="D214">
        <v>41</v>
      </c>
      <c r="E214">
        <v>336</v>
      </c>
      <c r="F214">
        <v>2873.741446</v>
      </c>
      <c r="G214" t="s">
        <v>38</v>
      </c>
      <c r="H214">
        <v>100</v>
      </c>
      <c r="I214">
        <v>30</v>
      </c>
      <c r="J214">
        <v>85</v>
      </c>
      <c r="K214">
        <v>4</v>
      </c>
      <c r="L214" t="s">
        <v>36</v>
      </c>
      <c r="M214">
        <v>1.32527401</v>
      </c>
      <c r="N214" t="s">
        <v>52</v>
      </c>
      <c r="O214" t="s">
        <v>45</v>
      </c>
      <c r="P214">
        <v>3</v>
      </c>
      <c r="Q214">
        <v>563</v>
      </c>
      <c r="R214">
        <v>3</v>
      </c>
      <c r="S214">
        <v>32.321286209999997</v>
      </c>
      <c r="T214" t="s">
        <v>46</v>
      </c>
      <c r="U214">
        <v>2.161253748</v>
      </c>
      <c r="V214" t="s">
        <v>31</v>
      </c>
      <c r="W214" t="s">
        <v>32</v>
      </c>
      <c r="X214">
        <v>402.96878909999998</v>
      </c>
    </row>
    <row r="215" spans="1:24" x14ac:dyDescent="0.3">
      <c r="A215" t="s">
        <v>33</v>
      </c>
      <c r="B215" t="s">
        <v>67</v>
      </c>
      <c r="C215">
        <v>16.160393320000001</v>
      </c>
      <c r="D215">
        <v>5</v>
      </c>
      <c r="E215">
        <v>249</v>
      </c>
      <c r="F215">
        <v>4052.7384160000001</v>
      </c>
      <c r="G215" t="s">
        <v>55</v>
      </c>
      <c r="H215">
        <v>80</v>
      </c>
      <c r="I215">
        <v>8</v>
      </c>
      <c r="J215">
        <v>48</v>
      </c>
      <c r="K215">
        <v>9</v>
      </c>
      <c r="L215" t="s">
        <v>36</v>
      </c>
      <c r="M215">
        <v>9.5372830610000001</v>
      </c>
      <c r="N215" t="s">
        <v>44</v>
      </c>
      <c r="O215" t="s">
        <v>53</v>
      </c>
      <c r="P215">
        <v>23</v>
      </c>
      <c r="Q215">
        <v>173</v>
      </c>
      <c r="R215">
        <v>10</v>
      </c>
      <c r="S215">
        <v>97.829050109999997</v>
      </c>
      <c r="T215" t="s">
        <v>30</v>
      </c>
      <c r="U215">
        <v>1.6310742300000001</v>
      </c>
      <c r="V215" t="s">
        <v>31</v>
      </c>
      <c r="W215" t="s">
        <v>32</v>
      </c>
      <c r="X215">
        <v>547.24100520000002</v>
      </c>
    </row>
    <row r="216" spans="1:24" x14ac:dyDescent="0.3">
      <c r="A216" t="s">
        <v>33</v>
      </c>
      <c r="B216" t="s">
        <v>68</v>
      </c>
      <c r="C216">
        <v>99.171328639999999</v>
      </c>
      <c r="D216">
        <v>26</v>
      </c>
      <c r="E216">
        <v>562</v>
      </c>
      <c r="F216">
        <v>8653.5709260000003</v>
      </c>
      <c r="G216" t="s">
        <v>26</v>
      </c>
      <c r="H216">
        <v>54</v>
      </c>
      <c r="I216">
        <v>29</v>
      </c>
      <c r="J216">
        <v>78</v>
      </c>
      <c r="K216">
        <v>5</v>
      </c>
      <c r="L216" t="s">
        <v>27</v>
      </c>
      <c r="M216">
        <v>2.039770189</v>
      </c>
      <c r="N216" t="s">
        <v>39</v>
      </c>
      <c r="O216" t="s">
        <v>45</v>
      </c>
      <c r="P216">
        <v>25</v>
      </c>
      <c r="Q216">
        <v>558</v>
      </c>
      <c r="R216">
        <v>14</v>
      </c>
      <c r="S216">
        <v>5.7914366299999998</v>
      </c>
      <c r="T216" t="s">
        <v>30</v>
      </c>
      <c r="U216">
        <v>0.100682852</v>
      </c>
      <c r="V216" t="s">
        <v>40</v>
      </c>
      <c r="W216" t="s">
        <v>32</v>
      </c>
      <c r="X216">
        <v>929.23528999999996</v>
      </c>
    </row>
    <row r="217" spans="1:24" x14ac:dyDescent="0.3">
      <c r="A217" t="s">
        <v>33</v>
      </c>
      <c r="B217" t="s">
        <v>69</v>
      </c>
      <c r="C217">
        <v>36.989244929999998</v>
      </c>
      <c r="D217">
        <v>94</v>
      </c>
      <c r="E217">
        <v>469</v>
      </c>
      <c r="F217">
        <v>5442.0867850000004</v>
      </c>
      <c r="G217" t="s">
        <v>26</v>
      </c>
      <c r="H217">
        <v>9</v>
      </c>
      <c r="I217">
        <v>8</v>
      </c>
      <c r="J217">
        <v>69</v>
      </c>
      <c r="K217">
        <v>7</v>
      </c>
      <c r="L217" t="s">
        <v>27</v>
      </c>
      <c r="M217">
        <v>2.4220397230000001</v>
      </c>
      <c r="N217" t="s">
        <v>39</v>
      </c>
      <c r="O217" t="s">
        <v>53</v>
      </c>
      <c r="P217">
        <v>14</v>
      </c>
      <c r="Q217">
        <v>580</v>
      </c>
      <c r="R217">
        <v>7</v>
      </c>
      <c r="S217">
        <v>97.121281749999994</v>
      </c>
      <c r="T217" t="s">
        <v>64</v>
      </c>
      <c r="U217">
        <v>2.2644057609999999</v>
      </c>
      <c r="V217" t="s">
        <v>56</v>
      </c>
      <c r="W217" t="s">
        <v>32</v>
      </c>
      <c r="X217">
        <v>127.8618</v>
      </c>
    </row>
    <row r="218" spans="1:24" x14ac:dyDescent="0.3">
      <c r="A218" t="s">
        <v>33</v>
      </c>
      <c r="B218" t="s">
        <v>70</v>
      </c>
      <c r="C218">
        <v>7.54717211</v>
      </c>
      <c r="D218">
        <v>74</v>
      </c>
      <c r="E218">
        <v>280</v>
      </c>
      <c r="F218">
        <v>6453.7979679999999</v>
      </c>
      <c r="G218" t="s">
        <v>35</v>
      </c>
      <c r="H218">
        <v>2</v>
      </c>
      <c r="I218">
        <v>5</v>
      </c>
      <c r="J218">
        <v>78</v>
      </c>
      <c r="K218">
        <v>1</v>
      </c>
      <c r="L218" t="s">
        <v>27</v>
      </c>
      <c r="M218">
        <v>4.1913245860000004</v>
      </c>
      <c r="N218" t="s">
        <v>39</v>
      </c>
      <c r="O218" t="s">
        <v>53</v>
      </c>
      <c r="P218">
        <v>3</v>
      </c>
      <c r="Q218">
        <v>399</v>
      </c>
      <c r="R218">
        <v>21</v>
      </c>
      <c r="S218">
        <v>77.106342499999997</v>
      </c>
      <c r="T218" t="s">
        <v>64</v>
      </c>
      <c r="U218">
        <v>1.0125630889999999</v>
      </c>
      <c r="V218" t="s">
        <v>40</v>
      </c>
      <c r="W218" t="s">
        <v>48</v>
      </c>
      <c r="X218">
        <v>865.52577980000001</v>
      </c>
    </row>
    <row r="219" spans="1:24" x14ac:dyDescent="0.3">
      <c r="A219" t="s">
        <v>57</v>
      </c>
      <c r="B219" t="s">
        <v>71</v>
      </c>
      <c r="C219">
        <v>81.46253437</v>
      </c>
      <c r="D219">
        <v>82</v>
      </c>
      <c r="E219">
        <v>126</v>
      </c>
      <c r="F219">
        <v>2629.3964350000001</v>
      </c>
      <c r="G219" t="s">
        <v>35</v>
      </c>
      <c r="H219">
        <v>45</v>
      </c>
      <c r="I219">
        <v>17</v>
      </c>
      <c r="J219">
        <v>85</v>
      </c>
      <c r="K219">
        <v>9</v>
      </c>
      <c r="L219" t="s">
        <v>43</v>
      </c>
      <c r="M219">
        <v>3.585418958</v>
      </c>
      <c r="N219" t="s">
        <v>39</v>
      </c>
      <c r="O219" t="s">
        <v>62</v>
      </c>
      <c r="P219">
        <v>7</v>
      </c>
      <c r="Q219">
        <v>453</v>
      </c>
      <c r="R219">
        <v>16</v>
      </c>
      <c r="S219">
        <v>47.67968037</v>
      </c>
      <c r="T219" t="s">
        <v>46</v>
      </c>
      <c r="U219">
        <v>0.102020755</v>
      </c>
      <c r="V219" t="s">
        <v>40</v>
      </c>
      <c r="W219" t="s">
        <v>41</v>
      </c>
      <c r="X219">
        <v>670.93439079999996</v>
      </c>
    </row>
    <row r="220" spans="1:24" x14ac:dyDescent="0.3">
      <c r="A220" t="s">
        <v>24</v>
      </c>
      <c r="B220" t="s">
        <v>72</v>
      </c>
      <c r="C220">
        <v>36.443627769999999</v>
      </c>
      <c r="D220">
        <v>23</v>
      </c>
      <c r="E220">
        <v>620</v>
      </c>
      <c r="F220">
        <v>9364.6735050000007</v>
      </c>
      <c r="G220" t="s">
        <v>38</v>
      </c>
      <c r="H220">
        <v>10</v>
      </c>
      <c r="I220">
        <v>10</v>
      </c>
      <c r="J220">
        <v>46</v>
      </c>
      <c r="K220">
        <v>8</v>
      </c>
      <c r="L220" t="s">
        <v>43</v>
      </c>
      <c r="M220">
        <v>4.3392247140000002</v>
      </c>
      <c r="N220" t="s">
        <v>61</v>
      </c>
      <c r="O220" t="s">
        <v>45</v>
      </c>
      <c r="P220">
        <v>18</v>
      </c>
      <c r="Q220">
        <v>374</v>
      </c>
      <c r="R220">
        <v>17</v>
      </c>
      <c r="S220">
        <v>27.107980850000001</v>
      </c>
      <c r="T220" t="s">
        <v>30</v>
      </c>
      <c r="U220">
        <v>2.231939111</v>
      </c>
      <c r="V220" t="s">
        <v>56</v>
      </c>
      <c r="W220" t="s">
        <v>48</v>
      </c>
      <c r="X220">
        <v>593.48025870000004</v>
      </c>
    </row>
    <row r="221" spans="1:24" x14ac:dyDescent="0.3">
      <c r="A221" t="s">
        <v>33</v>
      </c>
      <c r="B221" t="s">
        <v>73</v>
      </c>
      <c r="C221">
        <v>51.123870089999997</v>
      </c>
      <c r="D221">
        <v>100</v>
      </c>
      <c r="E221">
        <v>187</v>
      </c>
      <c r="F221">
        <v>2553.4955850000001</v>
      </c>
      <c r="G221" t="s">
        <v>38</v>
      </c>
      <c r="H221">
        <v>48</v>
      </c>
      <c r="I221">
        <v>11</v>
      </c>
      <c r="J221">
        <v>94</v>
      </c>
      <c r="K221">
        <v>3</v>
      </c>
      <c r="L221" t="s">
        <v>36</v>
      </c>
      <c r="M221">
        <v>4.7426358830000002</v>
      </c>
      <c r="N221" t="s">
        <v>52</v>
      </c>
      <c r="O221" t="s">
        <v>62</v>
      </c>
      <c r="P221">
        <v>20</v>
      </c>
      <c r="Q221">
        <v>694</v>
      </c>
      <c r="R221">
        <v>16</v>
      </c>
      <c r="S221">
        <v>82.373320590000006</v>
      </c>
      <c r="T221" t="s">
        <v>46</v>
      </c>
      <c r="U221">
        <v>3.6464508649999998</v>
      </c>
      <c r="V221" t="s">
        <v>31</v>
      </c>
      <c r="W221" t="s">
        <v>41</v>
      </c>
      <c r="X221">
        <v>477.30763109999998</v>
      </c>
    </row>
    <row r="222" spans="1:24" x14ac:dyDescent="0.3">
      <c r="A222" t="s">
        <v>33</v>
      </c>
      <c r="B222" t="s">
        <v>74</v>
      </c>
      <c r="C222">
        <v>96.341072440000005</v>
      </c>
      <c r="D222">
        <v>22</v>
      </c>
      <c r="E222">
        <v>320</v>
      </c>
      <c r="F222">
        <v>8128.0276970000004</v>
      </c>
      <c r="G222" t="s">
        <v>38</v>
      </c>
      <c r="H222">
        <v>27</v>
      </c>
      <c r="I222">
        <v>12</v>
      </c>
      <c r="J222">
        <v>68</v>
      </c>
      <c r="K222">
        <v>6</v>
      </c>
      <c r="L222" t="s">
        <v>36</v>
      </c>
      <c r="M222">
        <v>8.8783346509999994</v>
      </c>
      <c r="N222" t="s">
        <v>39</v>
      </c>
      <c r="O222" t="s">
        <v>62</v>
      </c>
      <c r="P222">
        <v>29</v>
      </c>
      <c r="Q222">
        <v>309</v>
      </c>
      <c r="R222">
        <v>6</v>
      </c>
      <c r="S222">
        <v>65.686259609999993</v>
      </c>
      <c r="T222" t="s">
        <v>64</v>
      </c>
      <c r="U222">
        <v>4.2314165739999998</v>
      </c>
      <c r="V222" t="s">
        <v>40</v>
      </c>
      <c r="W222" t="s">
        <v>32</v>
      </c>
      <c r="X222">
        <v>493.87121530000002</v>
      </c>
    </row>
    <row r="223" spans="1:24" x14ac:dyDescent="0.3">
      <c r="A223" t="s">
        <v>57</v>
      </c>
      <c r="B223" t="s">
        <v>75</v>
      </c>
      <c r="C223">
        <v>84.893868979999993</v>
      </c>
      <c r="D223">
        <v>60</v>
      </c>
      <c r="E223">
        <v>601</v>
      </c>
      <c r="F223">
        <v>7087.0526959999997</v>
      </c>
      <c r="G223" t="s">
        <v>38</v>
      </c>
      <c r="H223">
        <v>69</v>
      </c>
      <c r="I223">
        <v>25</v>
      </c>
      <c r="J223">
        <v>7</v>
      </c>
      <c r="K223">
        <v>6</v>
      </c>
      <c r="L223" t="s">
        <v>27</v>
      </c>
      <c r="M223">
        <v>6.0378837689999996</v>
      </c>
      <c r="N223" t="s">
        <v>44</v>
      </c>
      <c r="O223" t="s">
        <v>62</v>
      </c>
      <c r="P223">
        <v>19</v>
      </c>
      <c r="Q223">
        <v>791</v>
      </c>
      <c r="R223">
        <v>4</v>
      </c>
      <c r="S223">
        <v>61.735728950000002</v>
      </c>
      <c r="T223" t="s">
        <v>30</v>
      </c>
      <c r="U223">
        <v>1.8607568000000001E-2</v>
      </c>
      <c r="V223" t="s">
        <v>40</v>
      </c>
      <c r="W223" t="s">
        <v>41</v>
      </c>
      <c r="X223">
        <v>523.36091469999997</v>
      </c>
    </row>
    <row r="224" spans="1:24" x14ac:dyDescent="0.3">
      <c r="A224" t="s">
        <v>24</v>
      </c>
      <c r="B224" t="s">
        <v>76</v>
      </c>
      <c r="C224">
        <v>27.67978089</v>
      </c>
      <c r="D224">
        <v>55</v>
      </c>
      <c r="E224">
        <v>884</v>
      </c>
      <c r="F224">
        <v>2390.807867</v>
      </c>
      <c r="G224" t="s">
        <v>38</v>
      </c>
      <c r="H224">
        <v>71</v>
      </c>
      <c r="I224">
        <v>1</v>
      </c>
      <c r="J224">
        <v>63</v>
      </c>
      <c r="K224">
        <v>10</v>
      </c>
      <c r="L224" t="s">
        <v>36</v>
      </c>
      <c r="M224">
        <v>9.567648921</v>
      </c>
      <c r="N224" t="s">
        <v>52</v>
      </c>
      <c r="O224" t="s">
        <v>45</v>
      </c>
      <c r="P224">
        <v>22</v>
      </c>
      <c r="Q224">
        <v>780</v>
      </c>
      <c r="R224">
        <v>28</v>
      </c>
      <c r="S224">
        <v>50.120839609999997</v>
      </c>
      <c r="T224" t="s">
        <v>46</v>
      </c>
      <c r="U224">
        <v>2.5912754730000001</v>
      </c>
      <c r="V224" t="s">
        <v>47</v>
      </c>
      <c r="W224" t="s">
        <v>41</v>
      </c>
      <c r="X224">
        <v>205.5719958</v>
      </c>
    </row>
    <row r="225" spans="1:24" x14ac:dyDescent="0.3">
      <c r="A225" t="s">
        <v>57</v>
      </c>
      <c r="B225" t="s">
        <v>77</v>
      </c>
      <c r="C225">
        <v>4.3243411859999998</v>
      </c>
      <c r="D225">
        <v>30</v>
      </c>
      <c r="E225">
        <v>391</v>
      </c>
      <c r="F225">
        <v>8858.3675710000007</v>
      </c>
      <c r="G225" t="s">
        <v>38</v>
      </c>
      <c r="H225">
        <v>84</v>
      </c>
      <c r="I225">
        <v>5</v>
      </c>
      <c r="J225">
        <v>29</v>
      </c>
      <c r="K225">
        <v>7</v>
      </c>
      <c r="L225" t="s">
        <v>36</v>
      </c>
      <c r="M225">
        <v>2.9248576009999998</v>
      </c>
      <c r="N225" t="s">
        <v>44</v>
      </c>
      <c r="O225" t="s">
        <v>45</v>
      </c>
      <c r="P225">
        <v>11</v>
      </c>
      <c r="Q225">
        <v>568</v>
      </c>
      <c r="R225">
        <v>29</v>
      </c>
      <c r="S225">
        <v>98.60995724</v>
      </c>
      <c r="T225" t="s">
        <v>30</v>
      </c>
      <c r="U225">
        <v>1.3422915630000001</v>
      </c>
      <c r="V225" t="s">
        <v>47</v>
      </c>
      <c r="W225" t="s">
        <v>48</v>
      </c>
      <c r="X225">
        <v>196.32944610000001</v>
      </c>
    </row>
    <row r="226" spans="1:24" x14ac:dyDescent="0.3">
      <c r="A226" t="s">
        <v>24</v>
      </c>
      <c r="B226" t="s">
        <v>78</v>
      </c>
      <c r="C226">
        <v>4.1563083589999996</v>
      </c>
      <c r="D226">
        <v>32</v>
      </c>
      <c r="E226">
        <v>209</v>
      </c>
      <c r="F226">
        <v>9049.0778609999998</v>
      </c>
      <c r="G226" t="s">
        <v>55</v>
      </c>
      <c r="H226">
        <v>4</v>
      </c>
      <c r="I226">
        <v>26</v>
      </c>
      <c r="J226">
        <v>2</v>
      </c>
      <c r="K226">
        <v>8</v>
      </c>
      <c r="L226" t="s">
        <v>43</v>
      </c>
      <c r="M226">
        <v>9.7412916890000005</v>
      </c>
      <c r="N226" t="s">
        <v>61</v>
      </c>
      <c r="O226" t="s">
        <v>53</v>
      </c>
      <c r="P226">
        <v>28</v>
      </c>
      <c r="Q226">
        <v>447</v>
      </c>
      <c r="R226">
        <v>3</v>
      </c>
      <c r="S226">
        <v>40.382359700000002</v>
      </c>
      <c r="T226" t="s">
        <v>30</v>
      </c>
      <c r="U226">
        <v>3.6913102929999999</v>
      </c>
      <c r="V226" t="s">
        <v>40</v>
      </c>
      <c r="W226" t="s">
        <v>48</v>
      </c>
      <c r="X226">
        <v>758.72477260000005</v>
      </c>
    </row>
    <row r="227" spans="1:24" x14ac:dyDescent="0.3">
      <c r="A227" t="s">
        <v>24</v>
      </c>
      <c r="B227" t="s">
        <v>79</v>
      </c>
      <c r="C227">
        <v>39.629343990000002</v>
      </c>
      <c r="D227">
        <v>73</v>
      </c>
      <c r="E227">
        <v>142</v>
      </c>
      <c r="F227">
        <v>2174.7770540000001</v>
      </c>
      <c r="G227" t="s">
        <v>55</v>
      </c>
      <c r="H227">
        <v>82</v>
      </c>
      <c r="I227">
        <v>11</v>
      </c>
      <c r="J227">
        <v>52</v>
      </c>
      <c r="K227">
        <v>3</v>
      </c>
      <c r="L227" t="s">
        <v>43</v>
      </c>
      <c r="M227">
        <v>2.2310736809999998</v>
      </c>
      <c r="N227" t="s">
        <v>52</v>
      </c>
      <c r="O227" t="s">
        <v>45</v>
      </c>
      <c r="P227">
        <v>19</v>
      </c>
      <c r="Q227">
        <v>934</v>
      </c>
      <c r="R227">
        <v>23</v>
      </c>
      <c r="S227">
        <v>78.280383119999996</v>
      </c>
      <c r="T227" t="s">
        <v>30</v>
      </c>
      <c r="U227">
        <v>3.7972312170000002</v>
      </c>
      <c r="V227" t="s">
        <v>31</v>
      </c>
      <c r="W227" t="s">
        <v>32</v>
      </c>
      <c r="X227">
        <v>458.53594570000001</v>
      </c>
    </row>
    <row r="228" spans="1:24" x14ac:dyDescent="0.3">
      <c r="A228" t="s">
        <v>24</v>
      </c>
      <c r="B228" t="s">
        <v>80</v>
      </c>
      <c r="C228">
        <v>97.446946620000006</v>
      </c>
      <c r="D228">
        <v>9</v>
      </c>
      <c r="E228">
        <v>353</v>
      </c>
      <c r="F228">
        <v>3716.4933259999998</v>
      </c>
      <c r="G228" t="s">
        <v>55</v>
      </c>
      <c r="H228">
        <v>59</v>
      </c>
      <c r="I228">
        <v>16</v>
      </c>
      <c r="J228">
        <v>48</v>
      </c>
      <c r="K228">
        <v>4</v>
      </c>
      <c r="L228" t="s">
        <v>27</v>
      </c>
      <c r="M228">
        <v>6.5075486209999998</v>
      </c>
      <c r="N228" t="s">
        <v>61</v>
      </c>
      <c r="O228" t="s">
        <v>53</v>
      </c>
      <c r="P228">
        <v>26</v>
      </c>
      <c r="Q228">
        <v>171</v>
      </c>
      <c r="R228">
        <v>4</v>
      </c>
      <c r="S228">
        <v>15.972229759999999</v>
      </c>
      <c r="T228" t="s">
        <v>64</v>
      </c>
      <c r="U228">
        <v>2.1193197370000001</v>
      </c>
      <c r="V228" t="s">
        <v>47</v>
      </c>
      <c r="W228" t="s">
        <v>48</v>
      </c>
      <c r="X228">
        <v>617.8669165</v>
      </c>
    </row>
    <row r="229" spans="1:24" x14ac:dyDescent="0.3">
      <c r="A229" t="s">
        <v>57</v>
      </c>
      <c r="B229" t="s">
        <v>81</v>
      </c>
      <c r="C229">
        <v>92.557360810000006</v>
      </c>
      <c r="D229">
        <v>42</v>
      </c>
      <c r="E229">
        <v>352</v>
      </c>
      <c r="F229">
        <v>2686.4572240000002</v>
      </c>
      <c r="G229" t="s">
        <v>38</v>
      </c>
      <c r="H229">
        <v>47</v>
      </c>
      <c r="I229">
        <v>9</v>
      </c>
      <c r="J229">
        <v>62</v>
      </c>
      <c r="K229">
        <v>8</v>
      </c>
      <c r="L229" t="s">
        <v>43</v>
      </c>
      <c r="M229">
        <v>7.4067509530000004</v>
      </c>
      <c r="N229" t="s">
        <v>44</v>
      </c>
      <c r="O229" t="s">
        <v>29</v>
      </c>
      <c r="P229">
        <v>25</v>
      </c>
      <c r="Q229">
        <v>291</v>
      </c>
      <c r="R229">
        <v>4</v>
      </c>
      <c r="S229">
        <v>10.528245070000001</v>
      </c>
      <c r="T229" t="s">
        <v>46</v>
      </c>
      <c r="U229">
        <v>2.8646678379999999</v>
      </c>
      <c r="V229" t="s">
        <v>56</v>
      </c>
      <c r="W229" t="s">
        <v>32</v>
      </c>
      <c r="X229">
        <v>762.45918219999999</v>
      </c>
    </row>
    <row r="230" spans="1:24" x14ac:dyDescent="0.3">
      <c r="A230" t="s">
        <v>57</v>
      </c>
      <c r="B230" t="s">
        <v>82</v>
      </c>
      <c r="C230">
        <v>2.3972747060000001</v>
      </c>
      <c r="D230">
        <v>12</v>
      </c>
      <c r="E230">
        <v>394</v>
      </c>
      <c r="F230">
        <v>6117.3246150000004</v>
      </c>
      <c r="G230" t="s">
        <v>35</v>
      </c>
      <c r="H230">
        <v>48</v>
      </c>
      <c r="I230">
        <v>15</v>
      </c>
      <c r="J230">
        <v>24</v>
      </c>
      <c r="K230">
        <v>4</v>
      </c>
      <c r="L230" t="s">
        <v>27</v>
      </c>
      <c r="M230">
        <v>9.8981405079999991</v>
      </c>
      <c r="N230" t="s">
        <v>39</v>
      </c>
      <c r="O230" t="s">
        <v>29</v>
      </c>
      <c r="P230">
        <v>13</v>
      </c>
      <c r="Q230">
        <v>171</v>
      </c>
      <c r="R230">
        <v>7</v>
      </c>
      <c r="S230">
        <v>59.429381810000002</v>
      </c>
      <c r="T230" t="s">
        <v>46</v>
      </c>
      <c r="U230">
        <v>0.81575707900000005</v>
      </c>
      <c r="V230" t="s">
        <v>40</v>
      </c>
      <c r="W230" t="s">
        <v>48</v>
      </c>
      <c r="X230">
        <v>123.4370275</v>
      </c>
    </row>
    <row r="231" spans="1:24" x14ac:dyDescent="0.3">
      <c r="A231" t="s">
        <v>57</v>
      </c>
      <c r="B231" t="s">
        <v>83</v>
      </c>
      <c r="C231">
        <v>63.44755919</v>
      </c>
      <c r="D231">
        <v>3</v>
      </c>
      <c r="E231">
        <v>253</v>
      </c>
      <c r="F231">
        <v>8318.9031950000008</v>
      </c>
      <c r="G231" t="s">
        <v>35</v>
      </c>
      <c r="H231">
        <v>45</v>
      </c>
      <c r="I231">
        <v>5</v>
      </c>
      <c r="J231">
        <v>67</v>
      </c>
      <c r="K231">
        <v>7</v>
      </c>
      <c r="L231" t="s">
        <v>27</v>
      </c>
      <c r="M231">
        <v>8.1009731449999993</v>
      </c>
      <c r="N231" t="s">
        <v>39</v>
      </c>
      <c r="O231" t="s">
        <v>45</v>
      </c>
      <c r="P231">
        <v>16</v>
      </c>
      <c r="Q231">
        <v>329</v>
      </c>
      <c r="R231">
        <v>7</v>
      </c>
      <c r="S231">
        <v>39.292875590000001</v>
      </c>
      <c r="T231" t="s">
        <v>64</v>
      </c>
      <c r="U231">
        <v>3.8780989369999999</v>
      </c>
      <c r="V231" t="s">
        <v>31</v>
      </c>
      <c r="W231" t="s">
        <v>32</v>
      </c>
      <c r="X231">
        <v>764.93537590000005</v>
      </c>
    </row>
    <row r="232" spans="1:24" x14ac:dyDescent="0.3">
      <c r="A232" t="s">
        <v>24</v>
      </c>
      <c r="B232" t="s">
        <v>84</v>
      </c>
      <c r="C232">
        <v>8.0228592110000001</v>
      </c>
      <c r="D232">
        <v>10</v>
      </c>
      <c r="E232">
        <v>327</v>
      </c>
      <c r="F232">
        <v>2766.3423670000002</v>
      </c>
      <c r="G232" t="s">
        <v>55</v>
      </c>
      <c r="H232">
        <v>60</v>
      </c>
      <c r="I232">
        <v>26</v>
      </c>
      <c r="J232">
        <v>35</v>
      </c>
      <c r="K232">
        <v>7</v>
      </c>
      <c r="L232" t="s">
        <v>27</v>
      </c>
      <c r="M232">
        <v>8.9545283149999992</v>
      </c>
      <c r="N232" t="s">
        <v>52</v>
      </c>
      <c r="O232" t="s">
        <v>45</v>
      </c>
      <c r="P232">
        <v>27</v>
      </c>
      <c r="Q232">
        <v>806</v>
      </c>
      <c r="R232">
        <v>30</v>
      </c>
      <c r="S232">
        <v>51.634893400000003</v>
      </c>
      <c r="T232" t="s">
        <v>30</v>
      </c>
      <c r="U232">
        <v>0.96539470500000002</v>
      </c>
      <c r="V232" t="s">
        <v>31</v>
      </c>
      <c r="W232" t="s">
        <v>41</v>
      </c>
      <c r="X232">
        <v>880.08098819999998</v>
      </c>
    </row>
    <row r="233" spans="1:24" x14ac:dyDescent="0.3">
      <c r="A233" t="s">
        <v>33</v>
      </c>
      <c r="B233" t="s">
        <v>85</v>
      </c>
      <c r="C233">
        <v>50.847393050000001</v>
      </c>
      <c r="D233">
        <v>28</v>
      </c>
      <c r="E233">
        <v>168</v>
      </c>
      <c r="F233">
        <v>9655.1351030000005</v>
      </c>
      <c r="G233" t="s">
        <v>55</v>
      </c>
      <c r="H233">
        <v>6</v>
      </c>
      <c r="I233">
        <v>17</v>
      </c>
      <c r="J233">
        <v>44</v>
      </c>
      <c r="K233">
        <v>4</v>
      </c>
      <c r="L233" t="s">
        <v>27</v>
      </c>
      <c r="M233">
        <v>2.6796609650000001</v>
      </c>
      <c r="N233" t="s">
        <v>28</v>
      </c>
      <c r="O233" t="s">
        <v>62</v>
      </c>
      <c r="P233">
        <v>24</v>
      </c>
      <c r="Q233">
        <v>461</v>
      </c>
      <c r="R233">
        <v>8</v>
      </c>
      <c r="S233">
        <v>60.251145659999999</v>
      </c>
      <c r="T233" t="s">
        <v>30</v>
      </c>
      <c r="U233">
        <v>2.989000007</v>
      </c>
      <c r="V233" t="s">
        <v>47</v>
      </c>
      <c r="W233" t="s">
        <v>41</v>
      </c>
      <c r="X233">
        <v>609.37920659999997</v>
      </c>
    </row>
    <row r="234" spans="1:24" x14ac:dyDescent="0.3">
      <c r="A234" t="s">
        <v>33</v>
      </c>
      <c r="B234" t="s">
        <v>86</v>
      </c>
      <c r="C234">
        <v>79.209936020000001</v>
      </c>
      <c r="D234">
        <v>43</v>
      </c>
      <c r="E234">
        <v>781</v>
      </c>
      <c r="F234">
        <v>9571.5504870000004</v>
      </c>
      <c r="G234" t="s">
        <v>38</v>
      </c>
      <c r="H234">
        <v>89</v>
      </c>
      <c r="I234">
        <v>13</v>
      </c>
      <c r="J234">
        <v>64</v>
      </c>
      <c r="K234">
        <v>4</v>
      </c>
      <c r="L234" t="s">
        <v>43</v>
      </c>
      <c r="M234">
        <v>6.5991049009999996</v>
      </c>
      <c r="N234" t="s">
        <v>28</v>
      </c>
      <c r="O234" t="s">
        <v>45</v>
      </c>
      <c r="P234">
        <v>30</v>
      </c>
      <c r="Q234">
        <v>737</v>
      </c>
      <c r="R234">
        <v>7</v>
      </c>
      <c r="S234">
        <v>29.692467149999999</v>
      </c>
      <c r="T234" t="s">
        <v>64</v>
      </c>
      <c r="U234">
        <v>1.946036119</v>
      </c>
      <c r="V234" t="s">
        <v>31</v>
      </c>
      <c r="W234" t="s">
        <v>48</v>
      </c>
      <c r="X234">
        <v>761.17390950000004</v>
      </c>
    </row>
    <row r="235" spans="1:24" x14ac:dyDescent="0.3">
      <c r="A235" t="s">
        <v>57</v>
      </c>
      <c r="B235" t="s">
        <v>87</v>
      </c>
      <c r="C235">
        <v>64.795434999999998</v>
      </c>
      <c r="D235">
        <v>63</v>
      </c>
      <c r="E235">
        <v>616</v>
      </c>
      <c r="F235">
        <v>5149.9983499999998</v>
      </c>
      <c r="G235" t="s">
        <v>26</v>
      </c>
      <c r="H235">
        <v>4</v>
      </c>
      <c r="I235">
        <v>17</v>
      </c>
      <c r="J235">
        <v>95</v>
      </c>
      <c r="K235">
        <v>9</v>
      </c>
      <c r="L235" t="s">
        <v>43</v>
      </c>
      <c r="M235">
        <v>4.858270503</v>
      </c>
      <c r="N235" t="s">
        <v>44</v>
      </c>
      <c r="O235" t="s">
        <v>62</v>
      </c>
      <c r="P235">
        <v>1</v>
      </c>
      <c r="Q235">
        <v>251</v>
      </c>
      <c r="R235">
        <v>23</v>
      </c>
      <c r="S235">
        <v>23.85342751</v>
      </c>
      <c r="T235" t="s">
        <v>46</v>
      </c>
      <c r="U235">
        <v>3.5410460119999998</v>
      </c>
      <c r="V235" t="s">
        <v>56</v>
      </c>
      <c r="W235" t="s">
        <v>48</v>
      </c>
      <c r="X235">
        <v>371.25529549999999</v>
      </c>
    </row>
    <row r="236" spans="1:24" x14ac:dyDescent="0.3">
      <c r="A236" t="s">
        <v>33</v>
      </c>
      <c r="B236" t="s">
        <v>88</v>
      </c>
      <c r="C236">
        <v>37.467592330000002</v>
      </c>
      <c r="D236">
        <v>96</v>
      </c>
      <c r="E236">
        <v>602</v>
      </c>
      <c r="F236">
        <v>9061.7108960000005</v>
      </c>
      <c r="G236" t="s">
        <v>38</v>
      </c>
      <c r="H236">
        <v>1</v>
      </c>
      <c r="I236">
        <v>26</v>
      </c>
      <c r="J236">
        <v>21</v>
      </c>
      <c r="K236">
        <v>7</v>
      </c>
      <c r="L236" t="s">
        <v>36</v>
      </c>
      <c r="M236">
        <v>1.019487571</v>
      </c>
      <c r="N236" t="s">
        <v>39</v>
      </c>
      <c r="O236" t="s">
        <v>62</v>
      </c>
      <c r="P236">
        <v>4</v>
      </c>
      <c r="Q236">
        <v>452</v>
      </c>
      <c r="R236">
        <v>10</v>
      </c>
      <c r="S236">
        <v>10.754272820000001</v>
      </c>
      <c r="T236" t="s">
        <v>64</v>
      </c>
      <c r="U236">
        <v>0.64660455900000002</v>
      </c>
      <c r="V236" t="s">
        <v>31</v>
      </c>
      <c r="W236" t="s">
        <v>32</v>
      </c>
      <c r="X236">
        <v>510.35800039999998</v>
      </c>
    </row>
    <row r="237" spans="1:24" x14ac:dyDescent="0.3">
      <c r="A237" t="s">
        <v>57</v>
      </c>
      <c r="B237" t="s">
        <v>89</v>
      </c>
      <c r="C237">
        <v>84.957786819999995</v>
      </c>
      <c r="D237">
        <v>11</v>
      </c>
      <c r="E237">
        <v>449</v>
      </c>
      <c r="F237">
        <v>6541.3293450000001</v>
      </c>
      <c r="G237" t="s">
        <v>35</v>
      </c>
      <c r="H237">
        <v>42</v>
      </c>
      <c r="I237">
        <v>27</v>
      </c>
      <c r="J237">
        <v>85</v>
      </c>
      <c r="K237">
        <v>8</v>
      </c>
      <c r="L237" t="s">
        <v>43</v>
      </c>
      <c r="M237">
        <v>5.2881899900000002</v>
      </c>
      <c r="N237" t="s">
        <v>39</v>
      </c>
      <c r="O237" t="s">
        <v>50</v>
      </c>
      <c r="P237">
        <v>3</v>
      </c>
      <c r="Q237">
        <v>367</v>
      </c>
      <c r="R237">
        <v>2</v>
      </c>
      <c r="S237">
        <v>58.004787039999997</v>
      </c>
      <c r="T237" t="s">
        <v>64</v>
      </c>
      <c r="U237">
        <v>0.54115409800000003</v>
      </c>
      <c r="V237" t="s">
        <v>56</v>
      </c>
      <c r="W237" t="s">
        <v>41</v>
      </c>
      <c r="X237">
        <v>553.42047119999995</v>
      </c>
    </row>
    <row r="238" spans="1:24" x14ac:dyDescent="0.3">
      <c r="A238" t="s">
        <v>33</v>
      </c>
      <c r="B238" t="s">
        <v>90</v>
      </c>
      <c r="C238">
        <v>9.8130025790000008</v>
      </c>
      <c r="D238">
        <v>34</v>
      </c>
      <c r="E238">
        <v>963</v>
      </c>
      <c r="F238">
        <v>7573.4024579999996</v>
      </c>
      <c r="G238" t="s">
        <v>35</v>
      </c>
      <c r="H238">
        <v>18</v>
      </c>
      <c r="I238">
        <v>23</v>
      </c>
      <c r="J238">
        <v>28</v>
      </c>
      <c r="K238">
        <v>3</v>
      </c>
      <c r="L238" t="s">
        <v>27</v>
      </c>
      <c r="M238">
        <v>2.1079512669999998</v>
      </c>
      <c r="N238" t="s">
        <v>61</v>
      </c>
      <c r="O238" t="s">
        <v>50</v>
      </c>
      <c r="P238">
        <v>26</v>
      </c>
      <c r="Q238">
        <v>671</v>
      </c>
      <c r="R238">
        <v>19</v>
      </c>
      <c r="S238">
        <v>45.531364240000002</v>
      </c>
      <c r="T238" t="s">
        <v>46</v>
      </c>
      <c r="U238">
        <v>3.8055333789999999</v>
      </c>
      <c r="V238" t="s">
        <v>40</v>
      </c>
      <c r="W238" t="s">
        <v>41</v>
      </c>
      <c r="X238">
        <v>403.80897420000002</v>
      </c>
    </row>
    <row r="239" spans="1:24" x14ac:dyDescent="0.3">
      <c r="A239" t="s">
        <v>33</v>
      </c>
      <c r="B239" t="s">
        <v>91</v>
      </c>
      <c r="C239">
        <v>23.39984475</v>
      </c>
      <c r="D239">
        <v>5</v>
      </c>
      <c r="E239">
        <v>963</v>
      </c>
      <c r="F239">
        <v>2438.3399300000001</v>
      </c>
      <c r="G239" t="s">
        <v>35</v>
      </c>
      <c r="H239">
        <v>25</v>
      </c>
      <c r="I239">
        <v>8</v>
      </c>
      <c r="J239">
        <v>21</v>
      </c>
      <c r="K239">
        <v>9</v>
      </c>
      <c r="L239" t="s">
        <v>36</v>
      </c>
      <c r="M239">
        <v>1.5326552739999999</v>
      </c>
      <c r="N239" t="s">
        <v>28</v>
      </c>
      <c r="O239" t="s">
        <v>45</v>
      </c>
      <c r="P239">
        <v>24</v>
      </c>
      <c r="Q239">
        <v>867</v>
      </c>
      <c r="R239">
        <v>15</v>
      </c>
      <c r="S239">
        <v>34.343277469999997</v>
      </c>
      <c r="T239" t="s">
        <v>30</v>
      </c>
      <c r="U239">
        <v>2.6102880850000001</v>
      </c>
      <c r="V239" t="s">
        <v>56</v>
      </c>
      <c r="W239" t="s">
        <v>48</v>
      </c>
      <c r="X239">
        <v>183.93296799999999</v>
      </c>
    </row>
    <row r="240" spans="1:24" x14ac:dyDescent="0.3">
      <c r="A240" t="s">
        <v>57</v>
      </c>
      <c r="B240" t="s">
        <v>92</v>
      </c>
      <c r="C240">
        <v>52.075930679999999</v>
      </c>
      <c r="D240">
        <v>75</v>
      </c>
      <c r="E240">
        <v>705</v>
      </c>
      <c r="F240">
        <v>9692.3180400000001</v>
      </c>
      <c r="G240" t="s">
        <v>26</v>
      </c>
      <c r="H240">
        <v>69</v>
      </c>
      <c r="I240">
        <v>1</v>
      </c>
      <c r="J240">
        <v>88</v>
      </c>
      <c r="K240">
        <v>5</v>
      </c>
      <c r="L240" t="s">
        <v>27</v>
      </c>
      <c r="M240">
        <v>9.2359314369999996</v>
      </c>
      <c r="N240" t="s">
        <v>44</v>
      </c>
      <c r="O240" t="s">
        <v>29</v>
      </c>
      <c r="P240">
        <v>10</v>
      </c>
      <c r="Q240">
        <v>841</v>
      </c>
      <c r="R240">
        <v>12</v>
      </c>
      <c r="S240">
        <v>5.9306936459999999</v>
      </c>
      <c r="T240" t="s">
        <v>30</v>
      </c>
      <c r="U240">
        <v>0.61332689900000004</v>
      </c>
      <c r="V240" t="s">
        <v>40</v>
      </c>
      <c r="W240" t="s">
        <v>32</v>
      </c>
      <c r="X240">
        <v>339.67286990000002</v>
      </c>
    </row>
    <row r="241" spans="1:24" x14ac:dyDescent="0.3">
      <c r="A241" t="s">
        <v>33</v>
      </c>
      <c r="B241" t="s">
        <v>93</v>
      </c>
      <c r="C241">
        <v>19.12747727</v>
      </c>
      <c r="D241">
        <v>26</v>
      </c>
      <c r="E241">
        <v>176</v>
      </c>
      <c r="F241">
        <v>1912.4656629999999</v>
      </c>
      <c r="G241" t="s">
        <v>35</v>
      </c>
      <c r="H241">
        <v>78</v>
      </c>
      <c r="I241">
        <v>29</v>
      </c>
      <c r="J241">
        <v>34</v>
      </c>
      <c r="K241">
        <v>3</v>
      </c>
      <c r="L241" t="s">
        <v>36</v>
      </c>
      <c r="M241">
        <v>5.562503779</v>
      </c>
      <c r="N241" t="s">
        <v>61</v>
      </c>
      <c r="O241" t="s">
        <v>45</v>
      </c>
      <c r="P241">
        <v>30</v>
      </c>
      <c r="Q241">
        <v>791</v>
      </c>
      <c r="R241">
        <v>6</v>
      </c>
      <c r="S241">
        <v>9.0058074290000008</v>
      </c>
      <c r="T241" t="s">
        <v>46</v>
      </c>
      <c r="U241">
        <v>1.451972204</v>
      </c>
      <c r="V241" t="s">
        <v>40</v>
      </c>
      <c r="W241" t="s">
        <v>32</v>
      </c>
      <c r="X241">
        <v>653.67299460000004</v>
      </c>
    </row>
    <row r="242" spans="1:24" x14ac:dyDescent="0.3">
      <c r="A242" t="s">
        <v>33</v>
      </c>
      <c r="B242" t="s">
        <v>94</v>
      </c>
      <c r="C242">
        <v>80.541424169999999</v>
      </c>
      <c r="D242">
        <v>97</v>
      </c>
      <c r="E242">
        <v>933</v>
      </c>
      <c r="F242">
        <v>5724.9593500000001</v>
      </c>
      <c r="G242" t="s">
        <v>35</v>
      </c>
      <c r="H242">
        <v>90</v>
      </c>
      <c r="I242">
        <v>20</v>
      </c>
      <c r="J242">
        <v>39</v>
      </c>
      <c r="K242">
        <v>8</v>
      </c>
      <c r="L242" t="s">
        <v>43</v>
      </c>
      <c r="M242">
        <v>7.2295951399999998</v>
      </c>
      <c r="N242" t="s">
        <v>39</v>
      </c>
      <c r="O242" t="s">
        <v>45</v>
      </c>
      <c r="P242">
        <v>18</v>
      </c>
      <c r="Q242">
        <v>793</v>
      </c>
      <c r="R242">
        <v>1</v>
      </c>
      <c r="S242">
        <v>88.179407100000006</v>
      </c>
      <c r="T242" t="s">
        <v>30</v>
      </c>
      <c r="U242">
        <v>4.2132694309999996</v>
      </c>
      <c r="V242" t="s">
        <v>31</v>
      </c>
      <c r="W242" t="s">
        <v>48</v>
      </c>
      <c r="X242">
        <v>529.80872399999998</v>
      </c>
    </row>
    <row r="243" spans="1:24" x14ac:dyDescent="0.3">
      <c r="A243" t="s">
        <v>33</v>
      </c>
      <c r="B243" t="s">
        <v>95</v>
      </c>
      <c r="C243">
        <v>99.113291619999998</v>
      </c>
      <c r="D243">
        <v>35</v>
      </c>
      <c r="E243">
        <v>556</v>
      </c>
      <c r="F243">
        <v>5521.2052590000003</v>
      </c>
      <c r="G243" t="s">
        <v>35</v>
      </c>
      <c r="H243">
        <v>64</v>
      </c>
      <c r="I243">
        <v>19</v>
      </c>
      <c r="J243">
        <v>38</v>
      </c>
      <c r="K243">
        <v>8</v>
      </c>
      <c r="L243" t="s">
        <v>27</v>
      </c>
      <c r="M243">
        <v>5.7732637440000003</v>
      </c>
      <c r="N243" t="s">
        <v>52</v>
      </c>
      <c r="O243" t="s">
        <v>62</v>
      </c>
      <c r="P243">
        <v>18</v>
      </c>
      <c r="Q243">
        <v>892</v>
      </c>
      <c r="R243">
        <v>7</v>
      </c>
      <c r="S243">
        <v>95.332064549999998</v>
      </c>
      <c r="T243" t="s">
        <v>46</v>
      </c>
      <c r="U243">
        <v>4.5302262000000003E-2</v>
      </c>
      <c r="V243" t="s">
        <v>56</v>
      </c>
      <c r="W243" t="s">
        <v>48</v>
      </c>
      <c r="X243">
        <v>275.5243711</v>
      </c>
    </row>
    <row r="244" spans="1:24" x14ac:dyDescent="0.3">
      <c r="A244" t="s">
        <v>33</v>
      </c>
      <c r="B244" t="s">
        <v>96</v>
      </c>
      <c r="C244">
        <v>46.529167610000002</v>
      </c>
      <c r="D244">
        <v>98</v>
      </c>
      <c r="E244">
        <v>155</v>
      </c>
      <c r="F244">
        <v>1839.609426</v>
      </c>
      <c r="G244" t="s">
        <v>35</v>
      </c>
      <c r="H244">
        <v>22</v>
      </c>
      <c r="I244">
        <v>27</v>
      </c>
      <c r="J244">
        <v>57</v>
      </c>
      <c r="K244">
        <v>4</v>
      </c>
      <c r="L244" t="s">
        <v>43</v>
      </c>
      <c r="M244">
        <v>7.5262483270000002</v>
      </c>
      <c r="N244" t="s">
        <v>44</v>
      </c>
      <c r="O244" t="s">
        <v>53</v>
      </c>
      <c r="P244">
        <v>26</v>
      </c>
      <c r="Q244">
        <v>179</v>
      </c>
      <c r="R244">
        <v>7</v>
      </c>
      <c r="S244">
        <v>96.422820639999998</v>
      </c>
      <c r="T244" t="s">
        <v>46</v>
      </c>
      <c r="U244">
        <v>4.9392552890000001</v>
      </c>
      <c r="V244" t="s">
        <v>31</v>
      </c>
      <c r="W244" t="s">
        <v>48</v>
      </c>
      <c r="X244">
        <v>635.65712050000002</v>
      </c>
    </row>
    <row r="245" spans="1:24" x14ac:dyDescent="0.3">
      <c r="A245" t="s">
        <v>24</v>
      </c>
      <c r="B245" t="s">
        <v>97</v>
      </c>
      <c r="C245">
        <v>11.743271780000001</v>
      </c>
      <c r="D245">
        <v>6</v>
      </c>
      <c r="E245">
        <v>598</v>
      </c>
      <c r="F245">
        <v>5737.4255990000001</v>
      </c>
      <c r="G245" t="s">
        <v>38</v>
      </c>
      <c r="H245">
        <v>36</v>
      </c>
      <c r="I245">
        <v>29</v>
      </c>
      <c r="J245">
        <v>85</v>
      </c>
      <c r="K245">
        <v>9</v>
      </c>
      <c r="L245" t="s">
        <v>27</v>
      </c>
      <c r="M245">
        <v>3.6940212680000002</v>
      </c>
      <c r="N245" t="s">
        <v>44</v>
      </c>
      <c r="O245" t="s">
        <v>29</v>
      </c>
      <c r="P245">
        <v>1</v>
      </c>
      <c r="Q245">
        <v>206</v>
      </c>
      <c r="R245">
        <v>23</v>
      </c>
      <c r="S245">
        <v>26.277365960000001</v>
      </c>
      <c r="T245" t="s">
        <v>30</v>
      </c>
      <c r="U245">
        <v>0.37230476800000001</v>
      </c>
      <c r="V245" t="s">
        <v>40</v>
      </c>
      <c r="W245" t="s">
        <v>48</v>
      </c>
      <c r="X245">
        <v>716.04411979999998</v>
      </c>
    </row>
    <row r="246" spans="1:24" x14ac:dyDescent="0.3">
      <c r="A246" t="s">
        <v>57</v>
      </c>
      <c r="B246" t="s">
        <v>98</v>
      </c>
      <c r="C246">
        <v>51.355790910000003</v>
      </c>
      <c r="D246">
        <v>34</v>
      </c>
      <c r="E246">
        <v>919</v>
      </c>
      <c r="F246">
        <v>7152.2860490000003</v>
      </c>
      <c r="G246" t="s">
        <v>35</v>
      </c>
      <c r="H246">
        <v>13</v>
      </c>
      <c r="I246">
        <v>19</v>
      </c>
      <c r="J246">
        <v>72</v>
      </c>
      <c r="K246">
        <v>6</v>
      </c>
      <c r="L246" t="s">
        <v>43</v>
      </c>
      <c r="M246">
        <v>7.5774496569999998</v>
      </c>
      <c r="N246" t="s">
        <v>61</v>
      </c>
      <c r="O246" t="s">
        <v>50</v>
      </c>
      <c r="P246">
        <v>7</v>
      </c>
      <c r="Q246">
        <v>834</v>
      </c>
      <c r="R246">
        <v>18</v>
      </c>
      <c r="S246">
        <v>22.554106619999999</v>
      </c>
      <c r="T246" t="s">
        <v>46</v>
      </c>
      <c r="U246">
        <v>2.96262632</v>
      </c>
      <c r="V246" t="s">
        <v>47</v>
      </c>
      <c r="W246" t="s">
        <v>48</v>
      </c>
      <c r="X246">
        <v>610.4532696</v>
      </c>
    </row>
    <row r="247" spans="1:24" x14ac:dyDescent="0.3">
      <c r="A247" t="s">
        <v>24</v>
      </c>
      <c r="B247" t="s">
        <v>99</v>
      </c>
      <c r="C247">
        <v>33.784138030000001</v>
      </c>
      <c r="D247">
        <v>1</v>
      </c>
      <c r="E247">
        <v>24</v>
      </c>
      <c r="F247">
        <v>5267.9568079999999</v>
      </c>
      <c r="G247" t="s">
        <v>55</v>
      </c>
      <c r="H247">
        <v>93</v>
      </c>
      <c r="I247">
        <v>7</v>
      </c>
      <c r="J247">
        <v>52</v>
      </c>
      <c r="K247">
        <v>6</v>
      </c>
      <c r="L247" t="s">
        <v>27</v>
      </c>
      <c r="M247">
        <v>5.2151550090000001</v>
      </c>
      <c r="N247" t="s">
        <v>61</v>
      </c>
      <c r="O247" t="s">
        <v>62</v>
      </c>
      <c r="P247">
        <v>25</v>
      </c>
      <c r="Q247">
        <v>794</v>
      </c>
      <c r="R247">
        <v>25</v>
      </c>
      <c r="S247">
        <v>66.312544439999996</v>
      </c>
      <c r="T247" t="s">
        <v>64</v>
      </c>
      <c r="U247">
        <v>3.2196046119999999</v>
      </c>
      <c r="V247" t="s">
        <v>47</v>
      </c>
      <c r="W247" t="s">
        <v>48</v>
      </c>
      <c r="X247">
        <v>495.30569700000001</v>
      </c>
    </row>
    <row r="248" spans="1:24" x14ac:dyDescent="0.3">
      <c r="A248" t="s">
        <v>24</v>
      </c>
      <c r="B248" t="s">
        <v>100</v>
      </c>
      <c r="C248">
        <v>27.082207199999999</v>
      </c>
      <c r="D248">
        <v>75</v>
      </c>
      <c r="E248">
        <v>859</v>
      </c>
      <c r="F248">
        <v>2556.7673610000002</v>
      </c>
      <c r="G248" t="s">
        <v>26</v>
      </c>
      <c r="H248">
        <v>92</v>
      </c>
      <c r="I248">
        <v>29</v>
      </c>
      <c r="J248">
        <v>6</v>
      </c>
      <c r="K248">
        <v>8</v>
      </c>
      <c r="L248" t="s">
        <v>27</v>
      </c>
      <c r="M248">
        <v>4.0709558369999996</v>
      </c>
      <c r="N248" t="s">
        <v>28</v>
      </c>
      <c r="O248" t="s">
        <v>62</v>
      </c>
      <c r="P248">
        <v>18</v>
      </c>
      <c r="Q248">
        <v>870</v>
      </c>
      <c r="R248">
        <v>23</v>
      </c>
      <c r="S248">
        <v>77.322353210000003</v>
      </c>
      <c r="T248" t="s">
        <v>30</v>
      </c>
      <c r="U248">
        <v>3.6486105929999999</v>
      </c>
      <c r="V248" t="s">
        <v>31</v>
      </c>
      <c r="W248" t="s">
        <v>32</v>
      </c>
      <c r="X248">
        <v>380.43593709999999</v>
      </c>
    </row>
    <row r="249" spans="1:24" x14ac:dyDescent="0.3">
      <c r="A249" t="s">
        <v>33</v>
      </c>
      <c r="B249" t="s">
        <v>101</v>
      </c>
      <c r="C249">
        <v>95.712135880000005</v>
      </c>
      <c r="D249">
        <v>93</v>
      </c>
      <c r="E249">
        <v>910</v>
      </c>
      <c r="F249">
        <v>7089.4742500000002</v>
      </c>
      <c r="G249" t="s">
        <v>55</v>
      </c>
      <c r="H249">
        <v>4</v>
      </c>
      <c r="I249">
        <v>15</v>
      </c>
      <c r="J249">
        <v>51</v>
      </c>
      <c r="K249">
        <v>9</v>
      </c>
      <c r="L249" t="s">
        <v>27</v>
      </c>
      <c r="M249">
        <v>8.9787507560000002</v>
      </c>
      <c r="N249" t="s">
        <v>39</v>
      </c>
      <c r="O249" t="s">
        <v>45</v>
      </c>
      <c r="P249">
        <v>10</v>
      </c>
      <c r="Q249">
        <v>964</v>
      </c>
      <c r="R249">
        <v>20</v>
      </c>
      <c r="S249">
        <v>19.712992910000001</v>
      </c>
      <c r="T249" t="s">
        <v>30</v>
      </c>
      <c r="U249">
        <v>0.38057358699999999</v>
      </c>
      <c r="V249" t="s">
        <v>47</v>
      </c>
      <c r="W249" t="s">
        <v>48</v>
      </c>
      <c r="X249">
        <v>581.60235509999995</v>
      </c>
    </row>
    <row r="250" spans="1:24" x14ac:dyDescent="0.3">
      <c r="A250" t="s">
        <v>24</v>
      </c>
      <c r="B250" t="s">
        <v>102</v>
      </c>
      <c r="C250">
        <v>76.035544430000002</v>
      </c>
      <c r="D250">
        <v>28</v>
      </c>
      <c r="E250">
        <v>29</v>
      </c>
      <c r="F250">
        <v>7397.0710049999998</v>
      </c>
      <c r="G250" t="s">
        <v>26</v>
      </c>
      <c r="H250">
        <v>30</v>
      </c>
      <c r="I250">
        <v>16</v>
      </c>
      <c r="J250">
        <v>9</v>
      </c>
      <c r="K250">
        <v>3</v>
      </c>
      <c r="L250" t="s">
        <v>43</v>
      </c>
      <c r="M250">
        <v>7.0958331570000004</v>
      </c>
      <c r="N250" t="s">
        <v>61</v>
      </c>
      <c r="O250" t="s">
        <v>29</v>
      </c>
      <c r="P250">
        <v>9</v>
      </c>
      <c r="Q250">
        <v>109</v>
      </c>
      <c r="R250">
        <v>18</v>
      </c>
      <c r="S250">
        <v>23.12636358</v>
      </c>
      <c r="T250" t="s">
        <v>46</v>
      </c>
      <c r="U250">
        <v>1.698112541</v>
      </c>
      <c r="V250" t="s">
        <v>47</v>
      </c>
      <c r="W250" t="s">
        <v>32</v>
      </c>
      <c r="X250">
        <v>768.65191400000003</v>
      </c>
    </row>
    <row r="251" spans="1:24" x14ac:dyDescent="0.3">
      <c r="A251" t="s">
        <v>57</v>
      </c>
      <c r="B251" t="s">
        <v>103</v>
      </c>
      <c r="C251">
        <v>78.897913209999999</v>
      </c>
      <c r="D251">
        <v>19</v>
      </c>
      <c r="E251">
        <v>99</v>
      </c>
      <c r="F251">
        <v>8001.6132070000003</v>
      </c>
      <c r="G251" t="s">
        <v>38</v>
      </c>
      <c r="H251">
        <v>97</v>
      </c>
      <c r="I251">
        <v>24</v>
      </c>
      <c r="J251">
        <v>9</v>
      </c>
      <c r="K251">
        <v>6</v>
      </c>
      <c r="L251" t="s">
        <v>43</v>
      </c>
      <c r="M251">
        <v>2.5056210330000002</v>
      </c>
      <c r="N251" t="s">
        <v>44</v>
      </c>
      <c r="O251" t="s">
        <v>50</v>
      </c>
      <c r="P251">
        <v>28</v>
      </c>
      <c r="Q251">
        <v>177</v>
      </c>
      <c r="R251">
        <v>28</v>
      </c>
      <c r="S251">
        <v>14.14781544</v>
      </c>
      <c r="T251" t="s">
        <v>64</v>
      </c>
      <c r="U251">
        <v>2.8258139849999999</v>
      </c>
      <c r="V251" t="s">
        <v>47</v>
      </c>
      <c r="W251" t="s">
        <v>48</v>
      </c>
      <c r="X251">
        <v>336.89016850000002</v>
      </c>
    </row>
    <row r="252" spans="1:24" x14ac:dyDescent="0.3">
      <c r="A252" t="s">
        <v>57</v>
      </c>
      <c r="B252" t="s">
        <v>104</v>
      </c>
      <c r="C252">
        <v>14.20348426</v>
      </c>
      <c r="D252">
        <v>91</v>
      </c>
      <c r="E252">
        <v>633</v>
      </c>
      <c r="F252">
        <v>5910.8853900000004</v>
      </c>
      <c r="G252" t="s">
        <v>35</v>
      </c>
      <c r="H252">
        <v>31</v>
      </c>
      <c r="I252">
        <v>23</v>
      </c>
      <c r="J252">
        <v>82</v>
      </c>
      <c r="K252">
        <v>10</v>
      </c>
      <c r="L252" t="s">
        <v>36</v>
      </c>
      <c r="M252">
        <v>6.2478609150000004</v>
      </c>
      <c r="N252" t="s">
        <v>61</v>
      </c>
      <c r="O252" t="s">
        <v>50</v>
      </c>
      <c r="P252">
        <v>20</v>
      </c>
      <c r="Q252">
        <v>306</v>
      </c>
      <c r="R252">
        <v>21</v>
      </c>
      <c r="S252">
        <v>45.178757920000002</v>
      </c>
      <c r="T252" t="s">
        <v>46</v>
      </c>
      <c r="U252">
        <v>4.7548008050000004</v>
      </c>
      <c r="V252" t="s">
        <v>47</v>
      </c>
      <c r="W252" t="s">
        <v>32</v>
      </c>
      <c r="X252">
        <v>496.24865030000001</v>
      </c>
    </row>
    <row r="253" spans="1:24" x14ac:dyDescent="0.3">
      <c r="A253" t="s">
        <v>24</v>
      </c>
      <c r="B253" t="s">
        <v>105</v>
      </c>
      <c r="C253">
        <v>26.700760970000001</v>
      </c>
      <c r="D253">
        <v>61</v>
      </c>
      <c r="E253">
        <v>154</v>
      </c>
      <c r="F253">
        <v>9866.4654580000006</v>
      </c>
      <c r="G253" t="s">
        <v>55</v>
      </c>
      <c r="H253">
        <v>100</v>
      </c>
      <c r="I253">
        <v>4</v>
      </c>
      <c r="J253">
        <v>52</v>
      </c>
      <c r="K253">
        <v>1</v>
      </c>
      <c r="L253" t="s">
        <v>36</v>
      </c>
      <c r="M253">
        <v>4.7830005580000003</v>
      </c>
      <c r="N253" t="s">
        <v>44</v>
      </c>
      <c r="O253" t="s">
        <v>53</v>
      </c>
      <c r="P253">
        <v>18</v>
      </c>
      <c r="Q253">
        <v>673</v>
      </c>
      <c r="R253">
        <v>28</v>
      </c>
      <c r="S253">
        <v>14.190328340000001</v>
      </c>
      <c r="T253" t="s">
        <v>30</v>
      </c>
      <c r="U253">
        <v>1.772951172</v>
      </c>
      <c r="V253" t="s">
        <v>31</v>
      </c>
      <c r="W253" t="s">
        <v>48</v>
      </c>
      <c r="X253">
        <v>694.98231759999999</v>
      </c>
    </row>
    <row r="254" spans="1:24" x14ac:dyDescent="0.3">
      <c r="A254" t="s">
        <v>33</v>
      </c>
      <c r="B254" t="s">
        <v>106</v>
      </c>
      <c r="C254">
        <v>98.03182966</v>
      </c>
      <c r="D254">
        <v>1</v>
      </c>
      <c r="E254">
        <v>820</v>
      </c>
      <c r="F254">
        <v>9435.7626089999994</v>
      </c>
      <c r="G254" t="s">
        <v>55</v>
      </c>
      <c r="H254">
        <v>64</v>
      </c>
      <c r="I254">
        <v>11</v>
      </c>
      <c r="J254">
        <v>11</v>
      </c>
      <c r="K254">
        <v>1</v>
      </c>
      <c r="L254" t="s">
        <v>27</v>
      </c>
      <c r="M254">
        <v>8.6310521799999993</v>
      </c>
      <c r="N254" t="s">
        <v>39</v>
      </c>
      <c r="O254" t="s">
        <v>29</v>
      </c>
      <c r="P254">
        <v>10</v>
      </c>
      <c r="Q254">
        <v>727</v>
      </c>
      <c r="R254">
        <v>27</v>
      </c>
      <c r="S254">
        <v>9.1668491490000008</v>
      </c>
      <c r="T254" t="s">
        <v>30</v>
      </c>
      <c r="U254">
        <v>2.1224716190000001</v>
      </c>
      <c r="V254" t="s">
        <v>40</v>
      </c>
      <c r="W254" t="s">
        <v>41</v>
      </c>
      <c r="X254">
        <v>602.89849879999997</v>
      </c>
    </row>
    <row r="255" spans="1:24" x14ac:dyDescent="0.3">
      <c r="A255" t="s">
        <v>33</v>
      </c>
      <c r="B255" t="s">
        <v>107</v>
      </c>
      <c r="C255">
        <v>30.341470709999999</v>
      </c>
      <c r="D255">
        <v>93</v>
      </c>
      <c r="E255">
        <v>242</v>
      </c>
      <c r="F255">
        <v>8232.3348289999994</v>
      </c>
      <c r="G255" t="s">
        <v>55</v>
      </c>
      <c r="H255">
        <v>96</v>
      </c>
      <c r="I255">
        <v>25</v>
      </c>
      <c r="J255">
        <v>54</v>
      </c>
      <c r="K255">
        <v>3</v>
      </c>
      <c r="L255" t="s">
        <v>27</v>
      </c>
      <c r="M255">
        <v>1.0134865660000001</v>
      </c>
      <c r="N255" t="s">
        <v>39</v>
      </c>
      <c r="O255" t="s">
        <v>50</v>
      </c>
      <c r="P255">
        <v>1</v>
      </c>
      <c r="Q255">
        <v>631</v>
      </c>
      <c r="R255">
        <v>17</v>
      </c>
      <c r="S255">
        <v>83.344058989999994</v>
      </c>
      <c r="T255" t="s">
        <v>30</v>
      </c>
      <c r="U255">
        <v>1.4103475759999999</v>
      </c>
      <c r="V255" t="s">
        <v>40</v>
      </c>
      <c r="W255" t="s">
        <v>32</v>
      </c>
      <c r="X255">
        <v>750.73784069999999</v>
      </c>
    </row>
    <row r="256" spans="1:24" x14ac:dyDescent="0.3">
      <c r="A256" t="s">
        <v>24</v>
      </c>
      <c r="B256" t="s">
        <v>108</v>
      </c>
      <c r="C256">
        <v>31.146243160000001</v>
      </c>
      <c r="D256">
        <v>11</v>
      </c>
      <c r="E256">
        <v>622</v>
      </c>
      <c r="F256">
        <v>6088.0214800000003</v>
      </c>
      <c r="G256" t="s">
        <v>26</v>
      </c>
      <c r="H256">
        <v>33</v>
      </c>
      <c r="I256">
        <v>22</v>
      </c>
      <c r="J256">
        <v>61</v>
      </c>
      <c r="K256">
        <v>3</v>
      </c>
      <c r="L256" t="s">
        <v>27</v>
      </c>
      <c r="M256">
        <v>4.3051034709999998</v>
      </c>
      <c r="N256" t="s">
        <v>39</v>
      </c>
      <c r="O256" t="s">
        <v>45</v>
      </c>
      <c r="P256">
        <v>26</v>
      </c>
      <c r="Q256">
        <v>497</v>
      </c>
      <c r="R256">
        <v>29</v>
      </c>
      <c r="S256">
        <v>30.186023380000002</v>
      </c>
      <c r="T256" t="s">
        <v>64</v>
      </c>
      <c r="U256">
        <v>2.478771976</v>
      </c>
      <c r="V256" t="s">
        <v>31</v>
      </c>
      <c r="W256" t="s">
        <v>32</v>
      </c>
      <c r="X256">
        <v>814.06999659999997</v>
      </c>
    </row>
    <row r="257" spans="1:24" x14ac:dyDescent="0.3">
      <c r="A257" t="s">
        <v>24</v>
      </c>
      <c r="B257" t="s">
        <v>109</v>
      </c>
      <c r="C257">
        <v>79.855058339999999</v>
      </c>
      <c r="D257">
        <v>16</v>
      </c>
      <c r="E257">
        <v>701</v>
      </c>
      <c r="F257">
        <v>2925.67517</v>
      </c>
      <c r="G257" t="s">
        <v>55</v>
      </c>
      <c r="H257">
        <v>97</v>
      </c>
      <c r="I257">
        <v>11</v>
      </c>
      <c r="J257">
        <v>11</v>
      </c>
      <c r="K257">
        <v>5</v>
      </c>
      <c r="L257" t="s">
        <v>36</v>
      </c>
      <c r="M257">
        <v>5.0143649549999996</v>
      </c>
      <c r="N257" t="s">
        <v>61</v>
      </c>
      <c r="O257" t="s">
        <v>50</v>
      </c>
      <c r="P257">
        <v>27</v>
      </c>
      <c r="Q257">
        <v>918</v>
      </c>
      <c r="R257">
        <v>5</v>
      </c>
      <c r="S257">
        <v>30.32354526</v>
      </c>
      <c r="T257" t="s">
        <v>46</v>
      </c>
      <c r="U257">
        <v>4.5489196590000001</v>
      </c>
      <c r="V257" t="s">
        <v>56</v>
      </c>
      <c r="W257" t="s">
        <v>32</v>
      </c>
      <c r="X257">
        <v>323.01292799999999</v>
      </c>
    </row>
    <row r="258" spans="1:24" x14ac:dyDescent="0.3">
      <c r="A258" t="s">
        <v>33</v>
      </c>
      <c r="B258" t="s">
        <v>110</v>
      </c>
      <c r="C258">
        <v>20.986386039999999</v>
      </c>
      <c r="D258">
        <v>90</v>
      </c>
      <c r="E258">
        <v>93</v>
      </c>
      <c r="F258">
        <v>4767.0204839999997</v>
      </c>
      <c r="G258" t="s">
        <v>26</v>
      </c>
      <c r="H258">
        <v>25</v>
      </c>
      <c r="I258">
        <v>23</v>
      </c>
      <c r="J258">
        <v>83</v>
      </c>
      <c r="K258">
        <v>5</v>
      </c>
      <c r="L258" t="s">
        <v>43</v>
      </c>
      <c r="M258">
        <v>1.774429714</v>
      </c>
      <c r="N258" t="s">
        <v>39</v>
      </c>
      <c r="O258" t="s">
        <v>29</v>
      </c>
      <c r="P258">
        <v>24</v>
      </c>
      <c r="Q258">
        <v>826</v>
      </c>
      <c r="R258">
        <v>28</v>
      </c>
      <c r="S258">
        <v>12.83628457</v>
      </c>
      <c r="T258" t="s">
        <v>64</v>
      </c>
      <c r="U258">
        <v>1.173755495</v>
      </c>
      <c r="V258" t="s">
        <v>40</v>
      </c>
      <c r="W258" t="s">
        <v>32</v>
      </c>
      <c r="X258">
        <v>832.21080870000003</v>
      </c>
    </row>
    <row r="259" spans="1:24" x14ac:dyDescent="0.3">
      <c r="A259" t="s">
        <v>24</v>
      </c>
      <c r="B259" t="s">
        <v>111</v>
      </c>
      <c r="C259">
        <v>49.26320535</v>
      </c>
      <c r="D259">
        <v>65</v>
      </c>
      <c r="E259">
        <v>227</v>
      </c>
      <c r="F259">
        <v>1605.8669</v>
      </c>
      <c r="G259" t="s">
        <v>38</v>
      </c>
      <c r="H259">
        <v>5</v>
      </c>
      <c r="I259">
        <v>18</v>
      </c>
      <c r="J259">
        <v>51</v>
      </c>
      <c r="K259">
        <v>1</v>
      </c>
      <c r="L259" t="s">
        <v>27</v>
      </c>
      <c r="M259">
        <v>9.1605585349999998</v>
      </c>
      <c r="N259" t="s">
        <v>61</v>
      </c>
      <c r="O259" t="s">
        <v>50</v>
      </c>
      <c r="P259">
        <v>21</v>
      </c>
      <c r="Q259">
        <v>588</v>
      </c>
      <c r="R259">
        <v>25</v>
      </c>
      <c r="S259">
        <v>67.779622989999993</v>
      </c>
      <c r="T259" t="s">
        <v>30</v>
      </c>
      <c r="U259">
        <v>2.5111748299999999</v>
      </c>
      <c r="V259" t="s">
        <v>47</v>
      </c>
      <c r="W259" t="s">
        <v>48</v>
      </c>
      <c r="X259">
        <v>482.19123860000002</v>
      </c>
    </row>
    <row r="260" spans="1:24" x14ac:dyDescent="0.3">
      <c r="A260" t="s">
        <v>33</v>
      </c>
      <c r="B260" t="s">
        <v>112</v>
      </c>
      <c r="C260">
        <v>59.841561380000002</v>
      </c>
      <c r="D260">
        <v>81</v>
      </c>
      <c r="E260">
        <v>896</v>
      </c>
      <c r="F260">
        <v>2021.1498099999999</v>
      </c>
      <c r="G260" t="s">
        <v>26</v>
      </c>
      <c r="H260">
        <v>10</v>
      </c>
      <c r="I260">
        <v>5</v>
      </c>
      <c r="J260">
        <v>44</v>
      </c>
      <c r="K260">
        <v>7</v>
      </c>
      <c r="L260" t="s">
        <v>36</v>
      </c>
      <c r="M260">
        <v>4.9384385650000002</v>
      </c>
      <c r="N260" t="s">
        <v>28</v>
      </c>
      <c r="O260" t="s">
        <v>50</v>
      </c>
      <c r="P260">
        <v>18</v>
      </c>
      <c r="Q260">
        <v>396</v>
      </c>
      <c r="R260">
        <v>7</v>
      </c>
      <c r="S260">
        <v>65.047415090000001</v>
      </c>
      <c r="T260" t="s">
        <v>46</v>
      </c>
      <c r="U260">
        <v>1.7303747199999999</v>
      </c>
      <c r="V260" t="s">
        <v>31</v>
      </c>
      <c r="W260" t="s">
        <v>32</v>
      </c>
      <c r="X260">
        <v>110.3643352</v>
      </c>
    </row>
    <row r="261" spans="1:24" x14ac:dyDescent="0.3">
      <c r="A261" t="s">
        <v>57</v>
      </c>
      <c r="B261" t="s">
        <v>113</v>
      </c>
      <c r="C261">
        <v>63.828398350000001</v>
      </c>
      <c r="D261">
        <v>30</v>
      </c>
      <c r="E261">
        <v>484</v>
      </c>
      <c r="F261">
        <v>1061.6185230000001</v>
      </c>
      <c r="G261" t="s">
        <v>26</v>
      </c>
      <c r="H261">
        <v>100</v>
      </c>
      <c r="I261">
        <v>16</v>
      </c>
      <c r="J261">
        <v>26</v>
      </c>
      <c r="K261">
        <v>7</v>
      </c>
      <c r="L261" t="s">
        <v>27</v>
      </c>
      <c r="M261">
        <v>7.2937225970000004</v>
      </c>
      <c r="N261" t="s">
        <v>39</v>
      </c>
      <c r="O261" t="s">
        <v>45</v>
      </c>
      <c r="P261">
        <v>11</v>
      </c>
      <c r="Q261">
        <v>176</v>
      </c>
      <c r="R261">
        <v>4</v>
      </c>
      <c r="S261">
        <v>1.900762244</v>
      </c>
      <c r="T261" t="s">
        <v>46</v>
      </c>
      <c r="U261">
        <v>0.447194015</v>
      </c>
      <c r="V261" t="s">
        <v>40</v>
      </c>
      <c r="W261" t="s">
        <v>48</v>
      </c>
      <c r="X261">
        <v>312.57427360000003</v>
      </c>
    </row>
    <row r="262" spans="1:24" x14ac:dyDescent="0.3">
      <c r="A262" t="s">
        <v>33</v>
      </c>
      <c r="B262" t="s">
        <v>114</v>
      </c>
      <c r="C262">
        <v>17.02802792</v>
      </c>
      <c r="D262">
        <v>16</v>
      </c>
      <c r="E262">
        <v>380</v>
      </c>
      <c r="F262">
        <v>8864.0843499999992</v>
      </c>
      <c r="G262" t="s">
        <v>35</v>
      </c>
      <c r="H262">
        <v>41</v>
      </c>
      <c r="I262">
        <v>27</v>
      </c>
      <c r="J262">
        <v>72</v>
      </c>
      <c r="K262">
        <v>8</v>
      </c>
      <c r="L262" t="s">
        <v>43</v>
      </c>
      <c r="M262">
        <v>4.3813681579999999</v>
      </c>
      <c r="N262" t="s">
        <v>52</v>
      </c>
      <c r="O262" t="s">
        <v>29</v>
      </c>
      <c r="P262">
        <v>29</v>
      </c>
      <c r="Q262">
        <v>929</v>
      </c>
      <c r="R262">
        <v>24</v>
      </c>
      <c r="S262">
        <v>87.213057820000003</v>
      </c>
      <c r="T262" t="s">
        <v>46</v>
      </c>
      <c r="U262">
        <v>2.8530906169999999</v>
      </c>
      <c r="V262" t="s">
        <v>47</v>
      </c>
      <c r="W262" t="s">
        <v>48</v>
      </c>
      <c r="X262">
        <v>430.16909700000002</v>
      </c>
    </row>
    <row r="263" spans="1:24" x14ac:dyDescent="0.3">
      <c r="A263" t="s">
        <v>24</v>
      </c>
      <c r="B263" t="s">
        <v>115</v>
      </c>
      <c r="C263">
        <v>52.028749900000001</v>
      </c>
      <c r="D263">
        <v>23</v>
      </c>
      <c r="E263">
        <v>117</v>
      </c>
      <c r="F263">
        <v>6885.5893509999996</v>
      </c>
      <c r="G263" t="s">
        <v>38</v>
      </c>
      <c r="H263">
        <v>32</v>
      </c>
      <c r="I263">
        <v>23</v>
      </c>
      <c r="J263">
        <v>36</v>
      </c>
      <c r="K263">
        <v>7</v>
      </c>
      <c r="L263" t="s">
        <v>43</v>
      </c>
      <c r="M263">
        <v>9.0303404230000002</v>
      </c>
      <c r="N263" t="s">
        <v>52</v>
      </c>
      <c r="O263" t="s">
        <v>45</v>
      </c>
      <c r="P263">
        <v>14</v>
      </c>
      <c r="Q263">
        <v>480</v>
      </c>
      <c r="R263">
        <v>12</v>
      </c>
      <c r="S263">
        <v>78.702393970000003</v>
      </c>
      <c r="T263" t="s">
        <v>46</v>
      </c>
      <c r="U263">
        <v>4.3674705380000001</v>
      </c>
      <c r="V263" t="s">
        <v>40</v>
      </c>
      <c r="W263" t="s">
        <v>48</v>
      </c>
      <c r="X263">
        <v>164.3665282</v>
      </c>
    </row>
    <row r="264" spans="1:24" x14ac:dyDescent="0.3">
      <c r="A264" t="s">
        <v>57</v>
      </c>
      <c r="B264" t="s">
        <v>116</v>
      </c>
      <c r="C264">
        <v>72.796353960000005</v>
      </c>
      <c r="D264">
        <v>89</v>
      </c>
      <c r="E264">
        <v>270</v>
      </c>
      <c r="F264">
        <v>3899.746834</v>
      </c>
      <c r="G264" t="s">
        <v>38</v>
      </c>
      <c r="H264">
        <v>86</v>
      </c>
      <c r="I264">
        <v>2</v>
      </c>
      <c r="J264">
        <v>40</v>
      </c>
      <c r="K264">
        <v>7</v>
      </c>
      <c r="L264" t="s">
        <v>43</v>
      </c>
      <c r="M264">
        <v>7.291701389</v>
      </c>
      <c r="N264" t="s">
        <v>61</v>
      </c>
      <c r="O264" t="s">
        <v>29</v>
      </c>
      <c r="P264">
        <v>13</v>
      </c>
      <c r="Q264">
        <v>751</v>
      </c>
      <c r="R264">
        <v>14</v>
      </c>
      <c r="S264">
        <v>21.048642730000001</v>
      </c>
      <c r="T264" t="s">
        <v>64</v>
      </c>
      <c r="U264">
        <v>1.8740014039999999</v>
      </c>
      <c r="V264" t="s">
        <v>56</v>
      </c>
      <c r="W264" t="s">
        <v>41</v>
      </c>
      <c r="X264">
        <v>320.84651580000002</v>
      </c>
    </row>
    <row r="265" spans="1:24" x14ac:dyDescent="0.3">
      <c r="A265" t="s">
        <v>33</v>
      </c>
      <c r="B265" t="s">
        <v>117</v>
      </c>
      <c r="C265">
        <v>13.01737679</v>
      </c>
      <c r="D265">
        <v>55</v>
      </c>
      <c r="E265">
        <v>246</v>
      </c>
      <c r="F265">
        <v>4256.9491410000001</v>
      </c>
      <c r="G265" t="s">
        <v>26</v>
      </c>
      <c r="H265">
        <v>54</v>
      </c>
      <c r="I265">
        <v>19</v>
      </c>
      <c r="J265">
        <v>10</v>
      </c>
      <c r="K265">
        <v>4</v>
      </c>
      <c r="L265" t="s">
        <v>36</v>
      </c>
      <c r="M265">
        <v>2.4579335279999999</v>
      </c>
      <c r="N265" t="s">
        <v>28</v>
      </c>
      <c r="O265" t="s">
        <v>53</v>
      </c>
      <c r="P265">
        <v>18</v>
      </c>
      <c r="Q265">
        <v>736</v>
      </c>
      <c r="R265">
        <v>10</v>
      </c>
      <c r="S265">
        <v>20.075003980000002</v>
      </c>
      <c r="T265" t="s">
        <v>30</v>
      </c>
      <c r="U265">
        <v>3.6328432899999998</v>
      </c>
      <c r="V265" t="s">
        <v>56</v>
      </c>
      <c r="W265" t="s">
        <v>48</v>
      </c>
      <c r="X265">
        <v>687.28617789999998</v>
      </c>
    </row>
    <row r="266" spans="1:24" x14ac:dyDescent="0.3">
      <c r="A266" t="s">
        <v>33</v>
      </c>
      <c r="B266" t="s">
        <v>118</v>
      </c>
      <c r="C266">
        <v>89.634095610000003</v>
      </c>
      <c r="D266">
        <v>11</v>
      </c>
      <c r="E266">
        <v>134</v>
      </c>
      <c r="F266">
        <v>8458.7308780000003</v>
      </c>
      <c r="G266" t="s">
        <v>35</v>
      </c>
      <c r="H266">
        <v>73</v>
      </c>
      <c r="I266">
        <v>27</v>
      </c>
      <c r="J266">
        <v>75</v>
      </c>
      <c r="K266">
        <v>6</v>
      </c>
      <c r="L266" t="s">
        <v>43</v>
      </c>
      <c r="M266">
        <v>4.5853534680000001</v>
      </c>
      <c r="N266" t="s">
        <v>39</v>
      </c>
      <c r="O266" t="s">
        <v>50</v>
      </c>
      <c r="P266">
        <v>17</v>
      </c>
      <c r="Q266">
        <v>328</v>
      </c>
      <c r="R266">
        <v>6</v>
      </c>
      <c r="S266">
        <v>8.6930424259999999</v>
      </c>
      <c r="T266" t="s">
        <v>46</v>
      </c>
      <c r="U266">
        <v>0.15948631499999999</v>
      </c>
      <c r="V266" t="s">
        <v>40</v>
      </c>
      <c r="W266" t="s">
        <v>41</v>
      </c>
      <c r="X266">
        <v>771.22508470000002</v>
      </c>
    </row>
    <row r="267" spans="1:24" x14ac:dyDescent="0.3">
      <c r="A267" t="s">
        <v>33</v>
      </c>
      <c r="B267" t="s">
        <v>119</v>
      </c>
      <c r="C267">
        <v>33.69771721</v>
      </c>
      <c r="D267">
        <v>72</v>
      </c>
      <c r="E267">
        <v>457</v>
      </c>
      <c r="F267">
        <v>8354.5796859999991</v>
      </c>
      <c r="G267" t="s">
        <v>55</v>
      </c>
      <c r="H267">
        <v>57</v>
      </c>
      <c r="I267">
        <v>24</v>
      </c>
      <c r="J267">
        <v>54</v>
      </c>
      <c r="K267">
        <v>8</v>
      </c>
      <c r="L267" t="s">
        <v>43</v>
      </c>
      <c r="M267">
        <v>6.5805413479999997</v>
      </c>
      <c r="N267" t="s">
        <v>44</v>
      </c>
      <c r="O267" t="s">
        <v>45</v>
      </c>
      <c r="P267">
        <v>16</v>
      </c>
      <c r="Q267">
        <v>358</v>
      </c>
      <c r="R267">
        <v>21</v>
      </c>
      <c r="S267">
        <v>1.5972227429999999</v>
      </c>
      <c r="T267" t="s">
        <v>46</v>
      </c>
      <c r="U267">
        <v>4.9110959550000004</v>
      </c>
      <c r="V267" t="s">
        <v>47</v>
      </c>
      <c r="W267" t="s">
        <v>41</v>
      </c>
      <c r="X267">
        <v>555.85910369999999</v>
      </c>
    </row>
    <row r="268" spans="1:24" x14ac:dyDescent="0.3">
      <c r="A268" t="s">
        <v>33</v>
      </c>
      <c r="B268" t="s">
        <v>120</v>
      </c>
      <c r="C268">
        <v>26.03486977</v>
      </c>
      <c r="D268">
        <v>52</v>
      </c>
      <c r="E268">
        <v>704</v>
      </c>
      <c r="F268">
        <v>8367.7216179999996</v>
      </c>
      <c r="G268" t="s">
        <v>35</v>
      </c>
      <c r="H268">
        <v>13</v>
      </c>
      <c r="I268">
        <v>17</v>
      </c>
      <c r="J268">
        <v>19</v>
      </c>
      <c r="K268">
        <v>8</v>
      </c>
      <c r="L268" t="s">
        <v>36</v>
      </c>
      <c r="M268">
        <v>2.216142729</v>
      </c>
      <c r="N268" t="s">
        <v>44</v>
      </c>
      <c r="O268" t="s">
        <v>45</v>
      </c>
      <c r="P268">
        <v>24</v>
      </c>
      <c r="Q268">
        <v>867</v>
      </c>
      <c r="R268">
        <v>28</v>
      </c>
      <c r="S268">
        <v>42.084436740000001</v>
      </c>
      <c r="T268" t="s">
        <v>46</v>
      </c>
      <c r="U268">
        <v>3.4480632880000002</v>
      </c>
      <c r="V268" t="s">
        <v>31</v>
      </c>
      <c r="W268" t="s">
        <v>48</v>
      </c>
      <c r="X268">
        <v>393.84334860000001</v>
      </c>
    </row>
    <row r="269" spans="1:24" x14ac:dyDescent="0.3">
      <c r="A269" t="s">
        <v>33</v>
      </c>
      <c r="B269" t="s">
        <v>121</v>
      </c>
      <c r="C269">
        <v>87.755432350000007</v>
      </c>
      <c r="D269">
        <v>16</v>
      </c>
      <c r="E269">
        <v>513</v>
      </c>
      <c r="F269">
        <v>9473.7980329999991</v>
      </c>
      <c r="G269" t="s">
        <v>38</v>
      </c>
      <c r="H269">
        <v>12</v>
      </c>
      <c r="I269">
        <v>9</v>
      </c>
      <c r="J269">
        <v>71</v>
      </c>
      <c r="K269">
        <v>9</v>
      </c>
      <c r="L269" t="s">
        <v>43</v>
      </c>
      <c r="M269">
        <v>9.1478115449999997</v>
      </c>
      <c r="N269" t="s">
        <v>39</v>
      </c>
      <c r="O269" t="s">
        <v>29</v>
      </c>
      <c r="P269">
        <v>10</v>
      </c>
      <c r="Q269">
        <v>198</v>
      </c>
      <c r="R269">
        <v>11</v>
      </c>
      <c r="S269">
        <v>7.057876147</v>
      </c>
      <c r="T269" t="s">
        <v>64</v>
      </c>
      <c r="U269">
        <v>0.13195544400000001</v>
      </c>
      <c r="V269" t="s">
        <v>56</v>
      </c>
      <c r="W269" t="s">
        <v>41</v>
      </c>
      <c r="X269">
        <v>169.27180139999999</v>
      </c>
    </row>
    <row r="270" spans="1:24" x14ac:dyDescent="0.3">
      <c r="A270" t="s">
        <v>24</v>
      </c>
      <c r="B270" t="s">
        <v>122</v>
      </c>
      <c r="C270">
        <v>37.931812379999997</v>
      </c>
      <c r="D270">
        <v>29</v>
      </c>
      <c r="E270">
        <v>163</v>
      </c>
      <c r="F270">
        <v>3550.218433</v>
      </c>
      <c r="G270" t="s">
        <v>26</v>
      </c>
      <c r="H270">
        <v>0</v>
      </c>
      <c r="I270">
        <v>8</v>
      </c>
      <c r="J270">
        <v>58</v>
      </c>
      <c r="K270">
        <v>8</v>
      </c>
      <c r="L270" t="s">
        <v>27</v>
      </c>
      <c r="M270">
        <v>1.194251865</v>
      </c>
      <c r="N270" t="s">
        <v>61</v>
      </c>
      <c r="O270" t="s">
        <v>53</v>
      </c>
      <c r="P270">
        <v>2</v>
      </c>
      <c r="Q270">
        <v>375</v>
      </c>
      <c r="R270">
        <v>18</v>
      </c>
      <c r="S270">
        <v>97.11358156</v>
      </c>
      <c r="T270" t="s">
        <v>46</v>
      </c>
      <c r="U270">
        <v>1.9834678720000001</v>
      </c>
      <c r="V270" t="s">
        <v>47</v>
      </c>
      <c r="W270" t="s">
        <v>48</v>
      </c>
      <c r="X270">
        <v>299.70630310000001</v>
      </c>
    </row>
    <row r="271" spans="1:24" x14ac:dyDescent="0.3">
      <c r="A271" t="s">
        <v>33</v>
      </c>
      <c r="B271" t="s">
        <v>123</v>
      </c>
      <c r="C271">
        <v>54.865528519999998</v>
      </c>
      <c r="D271">
        <v>62</v>
      </c>
      <c r="E271">
        <v>511</v>
      </c>
      <c r="F271">
        <v>1752.381087</v>
      </c>
      <c r="G271" t="s">
        <v>26</v>
      </c>
      <c r="H271">
        <v>95</v>
      </c>
      <c r="I271">
        <v>1</v>
      </c>
      <c r="J271">
        <v>27</v>
      </c>
      <c r="K271">
        <v>3</v>
      </c>
      <c r="L271" t="s">
        <v>27</v>
      </c>
      <c r="M271">
        <v>9.7052867900000006</v>
      </c>
      <c r="N271" t="s">
        <v>52</v>
      </c>
      <c r="O271" t="s">
        <v>45</v>
      </c>
      <c r="P271">
        <v>9</v>
      </c>
      <c r="Q271">
        <v>862</v>
      </c>
      <c r="R271">
        <v>7</v>
      </c>
      <c r="S271">
        <v>77.62776581</v>
      </c>
      <c r="T271" t="s">
        <v>30</v>
      </c>
      <c r="U271">
        <v>1.3623879889999999</v>
      </c>
      <c r="V271" t="s">
        <v>40</v>
      </c>
      <c r="W271" t="s">
        <v>48</v>
      </c>
      <c r="X271">
        <v>207.66320619999999</v>
      </c>
    </row>
    <row r="272" spans="1:24" x14ac:dyDescent="0.3">
      <c r="A272" t="s">
        <v>24</v>
      </c>
      <c r="B272" t="s">
        <v>124</v>
      </c>
      <c r="C272">
        <v>47.914541819999997</v>
      </c>
      <c r="D272">
        <v>90</v>
      </c>
      <c r="E272">
        <v>32</v>
      </c>
      <c r="F272">
        <v>7014.8879870000001</v>
      </c>
      <c r="G272" t="s">
        <v>35</v>
      </c>
      <c r="H272">
        <v>10</v>
      </c>
      <c r="I272">
        <v>12</v>
      </c>
      <c r="J272">
        <v>22</v>
      </c>
      <c r="K272">
        <v>4</v>
      </c>
      <c r="L272" t="s">
        <v>27</v>
      </c>
      <c r="M272">
        <v>6.3157177549999997</v>
      </c>
      <c r="N272" t="s">
        <v>39</v>
      </c>
      <c r="O272" t="s">
        <v>53</v>
      </c>
      <c r="P272">
        <v>22</v>
      </c>
      <c r="Q272">
        <v>775</v>
      </c>
      <c r="R272">
        <v>16</v>
      </c>
      <c r="S272">
        <v>11.44078182</v>
      </c>
      <c r="T272" t="s">
        <v>64</v>
      </c>
      <c r="U272">
        <v>1.8305755990000001</v>
      </c>
      <c r="V272" t="s">
        <v>31</v>
      </c>
      <c r="W272" t="s">
        <v>41</v>
      </c>
      <c r="X272">
        <v>183.27289870000001</v>
      </c>
    </row>
    <row r="273" spans="1:24" x14ac:dyDescent="0.3">
      <c r="A273" t="s">
        <v>57</v>
      </c>
      <c r="B273" t="s">
        <v>125</v>
      </c>
      <c r="C273">
        <v>6.3815331630000003</v>
      </c>
      <c r="D273">
        <v>14</v>
      </c>
      <c r="E273">
        <v>637</v>
      </c>
      <c r="F273">
        <v>8180.3370850000001</v>
      </c>
      <c r="G273" t="s">
        <v>35</v>
      </c>
      <c r="H273">
        <v>76</v>
      </c>
      <c r="I273">
        <v>2</v>
      </c>
      <c r="J273">
        <v>26</v>
      </c>
      <c r="K273">
        <v>6</v>
      </c>
      <c r="L273" t="s">
        <v>36</v>
      </c>
      <c r="M273">
        <v>9.2281903169999993</v>
      </c>
      <c r="N273" t="s">
        <v>61</v>
      </c>
      <c r="O273" t="s">
        <v>53</v>
      </c>
      <c r="P273">
        <v>2</v>
      </c>
      <c r="Q273">
        <v>258</v>
      </c>
      <c r="R273">
        <v>10</v>
      </c>
      <c r="S273">
        <v>30.661677480000002</v>
      </c>
      <c r="T273" t="s">
        <v>30</v>
      </c>
      <c r="U273">
        <v>2.078750608</v>
      </c>
      <c r="V273" t="s">
        <v>31</v>
      </c>
      <c r="W273" t="s">
        <v>48</v>
      </c>
      <c r="X273">
        <v>405.16706790000001</v>
      </c>
    </row>
    <row r="274" spans="1:24" x14ac:dyDescent="0.3">
      <c r="A274" t="s">
        <v>57</v>
      </c>
      <c r="B274" t="s">
        <v>126</v>
      </c>
      <c r="C274">
        <v>90.204427519999996</v>
      </c>
      <c r="D274">
        <v>88</v>
      </c>
      <c r="E274">
        <v>478</v>
      </c>
      <c r="F274">
        <v>2633.1219809999998</v>
      </c>
      <c r="G274" t="s">
        <v>26</v>
      </c>
      <c r="H274">
        <v>57</v>
      </c>
      <c r="I274">
        <v>29</v>
      </c>
      <c r="J274">
        <v>77</v>
      </c>
      <c r="K274">
        <v>9</v>
      </c>
      <c r="L274" t="s">
        <v>36</v>
      </c>
      <c r="M274">
        <v>6.5996141599999998</v>
      </c>
      <c r="N274" t="s">
        <v>39</v>
      </c>
      <c r="O274" t="s">
        <v>53</v>
      </c>
      <c r="P274">
        <v>21</v>
      </c>
      <c r="Q274">
        <v>152</v>
      </c>
      <c r="R274">
        <v>11</v>
      </c>
      <c r="S274">
        <v>55.760492900000003</v>
      </c>
      <c r="T274" t="s">
        <v>30</v>
      </c>
      <c r="U274">
        <v>3.2133296069999999</v>
      </c>
      <c r="V274" t="s">
        <v>47</v>
      </c>
      <c r="W274" t="s">
        <v>32</v>
      </c>
      <c r="X274">
        <v>677.94456979999995</v>
      </c>
    </row>
    <row r="275" spans="1:24" x14ac:dyDescent="0.3">
      <c r="A275" t="s">
        <v>57</v>
      </c>
      <c r="B275" t="s">
        <v>127</v>
      </c>
      <c r="C275">
        <v>83.851017679999998</v>
      </c>
      <c r="D275">
        <v>41</v>
      </c>
      <c r="E275">
        <v>375</v>
      </c>
      <c r="F275">
        <v>7910.8869160000004</v>
      </c>
      <c r="G275" t="s">
        <v>55</v>
      </c>
      <c r="H275">
        <v>17</v>
      </c>
      <c r="I275">
        <v>25</v>
      </c>
      <c r="J275">
        <v>66</v>
      </c>
      <c r="K275">
        <v>5</v>
      </c>
      <c r="L275" t="s">
        <v>27</v>
      </c>
      <c r="M275">
        <v>1.512936837</v>
      </c>
      <c r="N275" t="s">
        <v>52</v>
      </c>
      <c r="O275" t="s">
        <v>62</v>
      </c>
      <c r="P275">
        <v>13</v>
      </c>
      <c r="Q275">
        <v>444</v>
      </c>
      <c r="R275">
        <v>4</v>
      </c>
      <c r="S275">
        <v>46.870238800000003</v>
      </c>
      <c r="T275" t="s">
        <v>46</v>
      </c>
      <c r="U275">
        <v>4.6205460650000001</v>
      </c>
      <c r="V275" t="s">
        <v>31</v>
      </c>
      <c r="W275" t="s">
        <v>48</v>
      </c>
      <c r="X275">
        <v>866.47280009999997</v>
      </c>
    </row>
    <row r="276" spans="1:24" x14ac:dyDescent="0.3">
      <c r="A276" t="s">
        <v>24</v>
      </c>
      <c r="B276" t="s">
        <v>128</v>
      </c>
      <c r="C276">
        <v>3.1700114140000002</v>
      </c>
      <c r="D276">
        <v>64</v>
      </c>
      <c r="E276">
        <v>904</v>
      </c>
      <c r="F276">
        <v>5709.9452959999999</v>
      </c>
      <c r="G276" t="s">
        <v>35</v>
      </c>
      <c r="H276">
        <v>41</v>
      </c>
      <c r="I276">
        <v>6</v>
      </c>
      <c r="J276">
        <v>1</v>
      </c>
      <c r="K276">
        <v>5</v>
      </c>
      <c r="L276" t="s">
        <v>36</v>
      </c>
      <c r="M276">
        <v>5.2376546499999996</v>
      </c>
      <c r="N276" t="s">
        <v>52</v>
      </c>
      <c r="O276" t="s">
        <v>50</v>
      </c>
      <c r="P276">
        <v>1</v>
      </c>
      <c r="Q276">
        <v>919</v>
      </c>
      <c r="R276">
        <v>9</v>
      </c>
      <c r="S276">
        <v>80.580852160000006</v>
      </c>
      <c r="T276" t="s">
        <v>46</v>
      </c>
      <c r="U276">
        <v>0.39661272400000003</v>
      </c>
      <c r="V276" t="s">
        <v>47</v>
      </c>
      <c r="W276" t="s">
        <v>48</v>
      </c>
      <c r="X276">
        <v>341.55265680000002</v>
      </c>
    </row>
    <row r="277" spans="1:24" x14ac:dyDescent="0.3">
      <c r="A277" t="s">
        <v>33</v>
      </c>
      <c r="B277" t="s">
        <v>129</v>
      </c>
      <c r="C277">
        <v>92.996884230000006</v>
      </c>
      <c r="D277">
        <v>29</v>
      </c>
      <c r="E277">
        <v>106</v>
      </c>
      <c r="F277">
        <v>1889.07359</v>
      </c>
      <c r="G277" t="s">
        <v>26</v>
      </c>
      <c r="H277">
        <v>16</v>
      </c>
      <c r="I277">
        <v>20</v>
      </c>
      <c r="J277">
        <v>56</v>
      </c>
      <c r="K277">
        <v>10</v>
      </c>
      <c r="L277" t="s">
        <v>43</v>
      </c>
      <c r="M277">
        <v>2.4738977609999999</v>
      </c>
      <c r="N277" t="s">
        <v>39</v>
      </c>
      <c r="O277" t="s">
        <v>62</v>
      </c>
      <c r="P277">
        <v>25</v>
      </c>
      <c r="Q277">
        <v>759</v>
      </c>
      <c r="R277">
        <v>11</v>
      </c>
      <c r="S277">
        <v>48.064782639999997</v>
      </c>
      <c r="T277" t="s">
        <v>64</v>
      </c>
      <c r="U277">
        <v>2.0300690889999999</v>
      </c>
      <c r="V277" t="s">
        <v>40</v>
      </c>
      <c r="W277" t="s">
        <v>41</v>
      </c>
      <c r="X277">
        <v>873.12964799999997</v>
      </c>
    </row>
    <row r="278" spans="1:24" x14ac:dyDescent="0.3">
      <c r="A278" t="s">
        <v>24</v>
      </c>
      <c r="B278" t="s">
        <v>130</v>
      </c>
      <c r="C278">
        <v>69.108799550000001</v>
      </c>
      <c r="D278">
        <v>23</v>
      </c>
      <c r="E278">
        <v>241</v>
      </c>
      <c r="F278">
        <v>5328.3759840000002</v>
      </c>
      <c r="G278" t="s">
        <v>55</v>
      </c>
      <c r="H278">
        <v>38</v>
      </c>
      <c r="I278">
        <v>1</v>
      </c>
      <c r="J278">
        <v>22</v>
      </c>
      <c r="K278">
        <v>10</v>
      </c>
      <c r="L278" t="s">
        <v>36</v>
      </c>
      <c r="M278">
        <v>7.0545383370000003</v>
      </c>
      <c r="N278" t="s">
        <v>61</v>
      </c>
      <c r="O278" t="s">
        <v>53</v>
      </c>
      <c r="P278">
        <v>25</v>
      </c>
      <c r="Q278">
        <v>985</v>
      </c>
      <c r="R278">
        <v>24</v>
      </c>
      <c r="S278">
        <v>64.323597800000002</v>
      </c>
      <c r="T278" t="s">
        <v>30</v>
      </c>
      <c r="U278">
        <v>2.1800374520000001</v>
      </c>
      <c r="V278" t="s">
        <v>47</v>
      </c>
      <c r="W278" t="s">
        <v>48</v>
      </c>
      <c r="X278">
        <v>997.41345009999998</v>
      </c>
    </row>
    <row r="279" spans="1:24" x14ac:dyDescent="0.3">
      <c r="A279" t="s">
        <v>24</v>
      </c>
      <c r="B279" t="s">
        <v>131</v>
      </c>
      <c r="C279">
        <v>57.449742960000002</v>
      </c>
      <c r="D279">
        <v>14</v>
      </c>
      <c r="E279">
        <v>359</v>
      </c>
      <c r="F279">
        <v>2483.760178</v>
      </c>
      <c r="G279" t="s">
        <v>38</v>
      </c>
      <c r="H279">
        <v>96</v>
      </c>
      <c r="I279">
        <v>28</v>
      </c>
      <c r="J279">
        <v>57</v>
      </c>
      <c r="K279">
        <v>4</v>
      </c>
      <c r="L279" t="s">
        <v>27</v>
      </c>
      <c r="M279">
        <v>6.7809466260000004</v>
      </c>
      <c r="N279" t="s">
        <v>39</v>
      </c>
      <c r="O279" t="s">
        <v>45</v>
      </c>
      <c r="P279">
        <v>26</v>
      </c>
      <c r="Q279">
        <v>334</v>
      </c>
      <c r="R279">
        <v>5</v>
      </c>
      <c r="S279">
        <v>42.952444749999998</v>
      </c>
      <c r="T279" t="s">
        <v>64</v>
      </c>
      <c r="U279">
        <v>3.0551418180000001</v>
      </c>
      <c r="V279" t="s">
        <v>31</v>
      </c>
      <c r="W279" t="s">
        <v>32</v>
      </c>
      <c r="X279">
        <v>852.5680989</v>
      </c>
    </row>
    <row r="280" spans="1:24" x14ac:dyDescent="0.3">
      <c r="A280" t="s">
        <v>24</v>
      </c>
      <c r="B280" t="s">
        <v>132</v>
      </c>
      <c r="C280">
        <v>6.3068831760000004</v>
      </c>
      <c r="D280">
        <v>50</v>
      </c>
      <c r="E280">
        <v>946</v>
      </c>
      <c r="F280">
        <v>1292.4584179999999</v>
      </c>
      <c r="G280" t="s">
        <v>38</v>
      </c>
      <c r="H280">
        <v>5</v>
      </c>
      <c r="I280">
        <v>4</v>
      </c>
      <c r="J280">
        <v>51</v>
      </c>
      <c r="K280">
        <v>5</v>
      </c>
      <c r="L280" t="s">
        <v>27</v>
      </c>
      <c r="M280">
        <v>8.4670497709999992</v>
      </c>
      <c r="N280" t="s">
        <v>44</v>
      </c>
      <c r="O280" t="s">
        <v>29</v>
      </c>
      <c r="P280">
        <v>25</v>
      </c>
      <c r="Q280">
        <v>858</v>
      </c>
      <c r="R280">
        <v>21</v>
      </c>
      <c r="S280">
        <v>71.126514720000003</v>
      </c>
      <c r="T280" t="s">
        <v>30</v>
      </c>
      <c r="U280">
        <v>4.0968813319999997</v>
      </c>
      <c r="V280" t="s">
        <v>56</v>
      </c>
      <c r="W280" t="s">
        <v>41</v>
      </c>
      <c r="X280">
        <v>323.59220340000002</v>
      </c>
    </row>
    <row r="281" spans="1:24" x14ac:dyDescent="0.3">
      <c r="A281" t="s">
        <v>24</v>
      </c>
      <c r="B281" t="s">
        <v>133</v>
      </c>
      <c r="C281">
        <v>57.057031219999999</v>
      </c>
      <c r="D281">
        <v>56</v>
      </c>
      <c r="E281">
        <v>198</v>
      </c>
      <c r="F281">
        <v>7888.7232679999997</v>
      </c>
      <c r="G281" t="s">
        <v>26</v>
      </c>
      <c r="H281">
        <v>31</v>
      </c>
      <c r="I281">
        <v>25</v>
      </c>
      <c r="J281">
        <v>20</v>
      </c>
      <c r="K281">
        <v>1</v>
      </c>
      <c r="L281" t="s">
        <v>27</v>
      </c>
      <c r="M281">
        <v>6.4963253639999996</v>
      </c>
      <c r="N281" t="s">
        <v>28</v>
      </c>
      <c r="O281" t="s">
        <v>53</v>
      </c>
      <c r="P281">
        <v>5</v>
      </c>
      <c r="Q281">
        <v>228</v>
      </c>
      <c r="R281">
        <v>12</v>
      </c>
      <c r="S281">
        <v>57.870902919999999</v>
      </c>
      <c r="T281" t="s">
        <v>30</v>
      </c>
      <c r="U281">
        <v>0.16587162699999999</v>
      </c>
      <c r="V281" t="s">
        <v>40</v>
      </c>
      <c r="W281" t="s">
        <v>41</v>
      </c>
      <c r="X281">
        <v>351.50421929999999</v>
      </c>
    </row>
    <row r="282" spans="1:24" x14ac:dyDescent="0.3">
      <c r="A282" t="s">
        <v>33</v>
      </c>
      <c r="B282" t="s">
        <v>134</v>
      </c>
      <c r="C282">
        <v>91.128318350000001</v>
      </c>
      <c r="D282">
        <v>75</v>
      </c>
      <c r="E282">
        <v>872</v>
      </c>
      <c r="F282">
        <v>8651.6726830000007</v>
      </c>
      <c r="G282" t="s">
        <v>38</v>
      </c>
      <c r="H282">
        <v>39</v>
      </c>
      <c r="I282">
        <v>14</v>
      </c>
      <c r="J282">
        <v>41</v>
      </c>
      <c r="K282">
        <v>2</v>
      </c>
      <c r="L282" t="s">
        <v>43</v>
      </c>
      <c r="M282">
        <v>2.8331846789999999</v>
      </c>
      <c r="N282" t="s">
        <v>28</v>
      </c>
      <c r="O282" t="s">
        <v>62</v>
      </c>
      <c r="P282">
        <v>8</v>
      </c>
      <c r="Q282">
        <v>202</v>
      </c>
      <c r="R282">
        <v>5</v>
      </c>
      <c r="S282">
        <v>76.961228019999993</v>
      </c>
      <c r="T282" t="s">
        <v>46</v>
      </c>
      <c r="U282">
        <v>2.849662199</v>
      </c>
      <c r="V282" t="s">
        <v>56</v>
      </c>
      <c r="W282" t="s">
        <v>32</v>
      </c>
      <c r="X282">
        <v>787.77985049999995</v>
      </c>
    </row>
    <row r="283" spans="1:24" x14ac:dyDescent="0.3">
      <c r="A283" t="s">
        <v>24</v>
      </c>
      <c r="B283" t="s">
        <v>135</v>
      </c>
      <c r="C283">
        <v>72.819206930000007</v>
      </c>
      <c r="D283">
        <v>9</v>
      </c>
      <c r="E283">
        <v>774</v>
      </c>
      <c r="F283">
        <v>4384.4134000000004</v>
      </c>
      <c r="G283" t="s">
        <v>38</v>
      </c>
      <c r="H283">
        <v>48</v>
      </c>
      <c r="I283">
        <v>6</v>
      </c>
      <c r="J283">
        <v>8</v>
      </c>
      <c r="K283">
        <v>5</v>
      </c>
      <c r="L283" t="s">
        <v>27</v>
      </c>
      <c r="M283">
        <v>4.0662775020000002</v>
      </c>
      <c r="N283" t="s">
        <v>28</v>
      </c>
      <c r="O283" t="s">
        <v>50</v>
      </c>
      <c r="P283">
        <v>28</v>
      </c>
      <c r="Q283">
        <v>698</v>
      </c>
      <c r="R283">
        <v>1</v>
      </c>
      <c r="S283">
        <v>19.789592939999999</v>
      </c>
      <c r="T283" t="s">
        <v>30</v>
      </c>
      <c r="U283">
        <v>2.5475471220000001</v>
      </c>
      <c r="V283" t="s">
        <v>47</v>
      </c>
      <c r="W283" t="s">
        <v>32</v>
      </c>
      <c r="X283">
        <v>276.7783359</v>
      </c>
    </row>
    <row r="284" spans="1:24" x14ac:dyDescent="0.3">
      <c r="A284" t="s">
        <v>33</v>
      </c>
      <c r="B284" t="s">
        <v>136</v>
      </c>
      <c r="C284">
        <v>17.03493074</v>
      </c>
      <c r="D284">
        <v>13</v>
      </c>
      <c r="E284">
        <v>336</v>
      </c>
      <c r="F284">
        <v>2943.3818679999999</v>
      </c>
      <c r="G284" t="s">
        <v>38</v>
      </c>
      <c r="H284">
        <v>42</v>
      </c>
      <c r="I284">
        <v>19</v>
      </c>
      <c r="J284">
        <v>72</v>
      </c>
      <c r="K284">
        <v>1</v>
      </c>
      <c r="L284" t="s">
        <v>36</v>
      </c>
      <c r="M284">
        <v>4.7081818740000001</v>
      </c>
      <c r="N284" t="s">
        <v>61</v>
      </c>
      <c r="O284" t="s">
        <v>29</v>
      </c>
      <c r="P284">
        <v>6</v>
      </c>
      <c r="Q284">
        <v>955</v>
      </c>
      <c r="R284">
        <v>26</v>
      </c>
      <c r="S284">
        <v>4.4652784350000001</v>
      </c>
      <c r="T284" t="s">
        <v>30</v>
      </c>
      <c r="U284">
        <v>4.1378770490000001</v>
      </c>
      <c r="V284" t="s">
        <v>31</v>
      </c>
      <c r="W284" t="s">
        <v>41</v>
      </c>
      <c r="X284">
        <v>589.97855560000005</v>
      </c>
    </row>
    <row r="285" spans="1:24" x14ac:dyDescent="0.3">
      <c r="A285" t="s">
        <v>24</v>
      </c>
      <c r="B285" t="s">
        <v>137</v>
      </c>
      <c r="C285">
        <v>68.911246210000002</v>
      </c>
      <c r="D285">
        <v>82</v>
      </c>
      <c r="E285">
        <v>663</v>
      </c>
      <c r="F285">
        <v>2411.7546320000001</v>
      </c>
      <c r="G285" t="s">
        <v>38</v>
      </c>
      <c r="H285">
        <v>65</v>
      </c>
      <c r="I285">
        <v>24</v>
      </c>
      <c r="J285">
        <v>7</v>
      </c>
      <c r="K285">
        <v>8</v>
      </c>
      <c r="L285" t="s">
        <v>27</v>
      </c>
      <c r="M285">
        <v>4.9498395779999997</v>
      </c>
      <c r="N285" t="s">
        <v>39</v>
      </c>
      <c r="O285" t="s">
        <v>53</v>
      </c>
      <c r="P285">
        <v>20</v>
      </c>
      <c r="Q285">
        <v>443</v>
      </c>
      <c r="R285">
        <v>5</v>
      </c>
      <c r="S285">
        <v>97.730593799999994</v>
      </c>
      <c r="T285" t="s">
        <v>46</v>
      </c>
      <c r="U285">
        <v>0.77300613399999996</v>
      </c>
      <c r="V285" t="s">
        <v>31</v>
      </c>
      <c r="W285" t="s">
        <v>48</v>
      </c>
      <c r="X285">
        <v>682.9710182</v>
      </c>
    </row>
    <row r="286" spans="1:24" x14ac:dyDescent="0.3">
      <c r="A286" t="s">
        <v>24</v>
      </c>
      <c r="B286" t="s">
        <v>138</v>
      </c>
      <c r="C286">
        <v>89.104367289999999</v>
      </c>
      <c r="D286">
        <v>99</v>
      </c>
      <c r="E286">
        <v>618</v>
      </c>
      <c r="F286">
        <v>2048.2901000000002</v>
      </c>
      <c r="G286" t="s">
        <v>38</v>
      </c>
      <c r="H286">
        <v>73</v>
      </c>
      <c r="I286">
        <v>26</v>
      </c>
      <c r="J286">
        <v>80</v>
      </c>
      <c r="K286">
        <v>10</v>
      </c>
      <c r="L286" t="s">
        <v>36</v>
      </c>
      <c r="M286">
        <v>8.3816156250000002</v>
      </c>
      <c r="N286" t="s">
        <v>44</v>
      </c>
      <c r="O286" t="s">
        <v>62</v>
      </c>
      <c r="P286">
        <v>24</v>
      </c>
      <c r="Q286">
        <v>589</v>
      </c>
      <c r="R286">
        <v>22</v>
      </c>
      <c r="S286">
        <v>33.808636509999999</v>
      </c>
      <c r="T286" t="s">
        <v>64</v>
      </c>
      <c r="U286">
        <v>4.8434565770000004</v>
      </c>
      <c r="V286" t="s">
        <v>40</v>
      </c>
      <c r="W286" t="s">
        <v>32</v>
      </c>
      <c r="X286">
        <v>465.45700599999998</v>
      </c>
    </row>
    <row r="287" spans="1:24" x14ac:dyDescent="0.3">
      <c r="A287" t="s">
        <v>57</v>
      </c>
      <c r="B287" t="s">
        <v>139</v>
      </c>
      <c r="C287">
        <v>76.962994420000001</v>
      </c>
      <c r="D287">
        <v>83</v>
      </c>
      <c r="E287">
        <v>25</v>
      </c>
      <c r="F287">
        <v>8684.6130589999993</v>
      </c>
      <c r="G287" t="s">
        <v>35</v>
      </c>
      <c r="H287">
        <v>15</v>
      </c>
      <c r="I287">
        <v>18</v>
      </c>
      <c r="J287">
        <v>66</v>
      </c>
      <c r="K287">
        <v>2</v>
      </c>
      <c r="L287" t="s">
        <v>43</v>
      </c>
      <c r="M287">
        <v>8.2491687050000007</v>
      </c>
      <c r="N287" t="s">
        <v>44</v>
      </c>
      <c r="O287" t="s">
        <v>62</v>
      </c>
      <c r="P287">
        <v>4</v>
      </c>
      <c r="Q287">
        <v>211</v>
      </c>
      <c r="R287">
        <v>2</v>
      </c>
      <c r="S287">
        <v>69.929345519999998</v>
      </c>
      <c r="T287" t="s">
        <v>46</v>
      </c>
      <c r="U287">
        <v>1.3744289999999999</v>
      </c>
      <c r="V287" t="s">
        <v>31</v>
      </c>
      <c r="W287" t="s">
        <v>32</v>
      </c>
      <c r="X287">
        <v>842.68682999999999</v>
      </c>
    </row>
    <row r="288" spans="1:24" x14ac:dyDescent="0.3">
      <c r="A288" t="s">
        <v>33</v>
      </c>
      <c r="B288" t="s">
        <v>140</v>
      </c>
      <c r="C288">
        <v>19.99817694</v>
      </c>
      <c r="D288">
        <v>18</v>
      </c>
      <c r="E288">
        <v>223</v>
      </c>
      <c r="F288">
        <v>1229.5910289999999</v>
      </c>
      <c r="G288" t="s">
        <v>38</v>
      </c>
      <c r="H288">
        <v>32</v>
      </c>
      <c r="I288">
        <v>14</v>
      </c>
      <c r="J288">
        <v>22</v>
      </c>
      <c r="K288">
        <v>6</v>
      </c>
      <c r="L288" t="s">
        <v>27</v>
      </c>
      <c r="M288">
        <v>1.4543053100000001</v>
      </c>
      <c r="N288" t="s">
        <v>39</v>
      </c>
      <c r="O288" t="s">
        <v>29</v>
      </c>
      <c r="P288">
        <v>4</v>
      </c>
      <c r="Q288">
        <v>569</v>
      </c>
      <c r="R288">
        <v>18</v>
      </c>
      <c r="S288">
        <v>74.608969999999999</v>
      </c>
      <c r="T288" t="s">
        <v>64</v>
      </c>
      <c r="U288">
        <v>2.051512931</v>
      </c>
      <c r="V288" t="s">
        <v>47</v>
      </c>
      <c r="W288" t="s">
        <v>48</v>
      </c>
      <c r="X288">
        <v>264.2548898</v>
      </c>
    </row>
    <row r="289" spans="1:24" x14ac:dyDescent="0.3">
      <c r="A289" t="s">
        <v>24</v>
      </c>
      <c r="B289" t="s">
        <v>141</v>
      </c>
      <c r="C289">
        <v>80.41403665</v>
      </c>
      <c r="D289">
        <v>24</v>
      </c>
      <c r="E289">
        <v>79</v>
      </c>
      <c r="F289">
        <v>5133.8467010000004</v>
      </c>
      <c r="G289" t="s">
        <v>55</v>
      </c>
      <c r="H289">
        <v>5</v>
      </c>
      <c r="I289">
        <v>7</v>
      </c>
      <c r="J289">
        <v>55</v>
      </c>
      <c r="K289">
        <v>10</v>
      </c>
      <c r="L289" t="s">
        <v>36</v>
      </c>
      <c r="M289">
        <v>6.5758037979999999</v>
      </c>
      <c r="N289" t="s">
        <v>28</v>
      </c>
      <c r="O289" t="s">
        <v>62</v>
      </c>
      <c r="P289">
        <v>27</v>
      </c>
      <c r="Q289">
        <v>523</v>
      </c>
      <c r="R289">
        <v>17</v>
      </c>
      <c r="S289">
        <v>28.696996819999999</v>
      </c>
      <c r="T289" t="s">
        <v>46</v>
      </c>
      <c r="U289">
        <v>3.693737788</v>
      </c>
      <c r="V289" t="s">
        <v>56</v>
      </c>
      <c r="W289" t="s">
        <v>32</v>
      </c>
      <c r="X289">
        <v>879.35921770000004</v>
      </c>
    </row>
    <row r="290" spans="1:24" x14ac:dyDescent="0.3">
      <c r="A290" t="s">
        <v>57</v>
      </c>
      <c r="B290" t="s">
        <v>142</v>
      </c>
      <c r="C290">
        <v>75.270406980000004</v>
      </c>
      <c r="D290">
        <v>58</v>
      </c>
      <c r="E290">
        <v>737</v>
      </c>
      <c r="F290">
        <v>9444.7420330000004</v>
      </c>
      <c r="G290" t="s">
        <v>55</v>
      </c>
      <c r="H290">
        <v>60</v>
      </c>
      <c r="I290">
        <v>18</v>
      </c>
      <c r="J290">
        <v>85</v>
      </c>
      <c r="K290">
        <v>7</v>
      </c>
      <c r="L290" t="s">
        <v>36</v>
      </c>
      <c r="M290">
        <v>3.8012531329999999</v>
      </c>
      <c r="N290" t="s">
        <v>61</v>
      </c>
      <c r="O290" t="s">
        <v>29</v>
      </c>
      <c r="P290">
        <v>21</v>
      </c>
      <c r="Q290">
        <v>953</v>
      </c>
      <c r="R290">
        <v>11</v>
      </c>
      <c r="S290">
        <v>68.184919059999999</v>
      </c>
      <c r="T290" t="s">
        <v>30</v>
      </c>
      <c r="U290">
        <v>0.72220440200000002</v>
      </c>
      <c r="V290" t="s">
        <v>56</v>
      </c>
      <c r="W290" t="s">
        <v>48</v>
      </c>
      <c r="X290">
        <v>103.916248</v>
      </c>
    </row>
    <row r="291" spans="1:24" x14ac:dyDescent="0.3">
      <c r="A291" t="s">
        <v>57</v>
      </c>
      <c r="B291" t="s">
        <v>143</v>
      </c>
      <c r="C291">
        <v>97.760085579999995</v>
      </c>
      <c r="D291">
        <v>10</v>
      </c>
      <c r="E291">
        <v>134</v>
      </c>
      <c r="F291">
        <v>5924.6825669999998</v>
      </c>
      <c r="G291" t="s">
        <v>38</v>
      </c>
      <c r="H291">
        <v>90</v>
      </c>
      <c r="I291">
        <v>1</v>
      </c>
      <c r="J291">
        <v>27</v>
      </c>
      <c r="K291">
        <v>8</v>
      </c>
      <c r="L291" t="s">
        <v>27</v>
      </c>
      <c r="M291">
        <v>9.9298162449999996</v>
      </c>
      <c r="N291" t="s">
        <v>39</v>
      </c>
      <c r="O291" t="s">
        <v>45</v>
      </c>
      <c r="P291">
        <v>23</v>
      </c>
      <c r="Q291">
        <v>370</v>
      </c>
      <c r="R291">
        <v>11</v>
      </c>
      <c r="S291">
        <v>46.603873380000003</v>
      </c>
      <c r="T291" t="s">
        <v>30</v>
      </c>
      <c r="U291">
        <v>1.9076657340000001</v>
      </c>
      <c r="V291" t="s">
        <v>47</v>
      </c>
      <c r="W291" t="s">
        <v>32</v>
      </c>
      <c r="X291">
        <v>517.49997389999999</v>
      </c>
    </row>
    <row r="292" spans="1:24" x14ac:dyDescent="0.3">
      <c r="A292" t="s">
        <v>33</v>
      </c>
      <c r="B292" t="s">
        <v>144</v>
      </c>
      <c r="C292">
        <v>13.8819135</v>
      </c>
      <c r="D292">
        <v>56</v>
      </c>
      <c r="E292">
        <v>320</v>
      </c>
      <c r="F292">
        <v>9592.63357</v>
      </c>
      <c r="G292" t="s">
        <v>26</v>
      </c>
      <c r="H292">
        <v>66</v>
      </c>
      <c r="I292">
        <v>18</v>
      </c>
      <c r="J292">
        <v>96</v>
      </c>
      <c r="K292">
        <v>7</v>
      </c>
      <c r="L292" t="s">
        <v>27</v>
      </c>
      <c r="M292">
        <v>7.674430708</v>
      </c>
      <c r="N292" t="s">
        <v>28</v>
      </c>
      <c r="O292" t="s">
        <v>53</v>
      </c>
      <c r="P292">
        <v>8</v>
      </c>
      <c r="Q292">
        <v>585</v>
      </c>
      <c r="R292">
        <v>8</v>
      </c>
      <c r="S292">
        <v>85.675963339999996</v>
      </c>
      <c r="T292" t="s">
        <v>64</v>
      </c>
      <c r="U292">
        <v>1.2193822240000001</v>
      </c>
      <c r="V292" t="s">
        <v>47</v>
      </c>
      <c r="W292" t="s">
        <v>32</v>
      </c>
      <c r="X292">
        <v>990.07847249999998</v>
      </c>
    </row>
    <row r="293" spans="1:24" x14ac:dyDescent="0.3">
      <c r="A293" t="s">
        <v>57</v>
      </c>
      <c r="B293" t="s">
        <v>145</v>
      </c>
      <c r="C293">
        <v>62.11196546</v>
      </c>
      <c r="D293">
        <v>90</v>
      </c>
      <c r="E293">
        <v>916</v>
      </c>
      <c r="F293">
        <v>1935.2067939999999</v>
      </c>
      <c r="G293" t="s">
        <v>55</v>
      </c>
      <c r="H293">
        <v>98</v>
      </c>
      <c r="I293">
        <v>22</v>
      </c>
      <c r="J293">
        <v>85</v>
      </c>
      <c r="K293">
        <v>7</v>
      </c>
      <c r="L293" t="s">
        <v>27</v>
      </c>
      <c r="M293">
        <v>7.4715140839999998</v>
      </c>
      <c r="N293" t="s">
        <v>52</v>
      </c>
      <c r="O293" t="s">
        <v>50</v>
      </c>
      <c r="P293">
        <v>5</v>
      </c>
      <c r="Q293">
        <v>207</v>
      </c>
      <c r="R293">
        <v>28</v>
      </c>
      <c r="S293">
        <v>39.772882500000001</v>
      </c>
      <c r="T293" t="s">
        <v>30</v>
      </c>
      <c r="U293">
        <v>0.62600185799999997</v>
      </c>
      <c r="V293" t="s">
        <v>47</v>
      </c>
      <c r="W293" t="s">
        <v>32</v>
      </c>
      <c r="X293">
        <v>996.77831500000002</v>
      </c>
    </row>
    <row r="294" spans="1:24" x14ac:dyDescent="0.3">
      <c r="A294" t="s">
        <v>57</v>
      </c>
      <c r="B294" t="s">
        <v>146</v>
      </c>
      <c r="C294">
        <v>47.71423308</v>
      </c>
      <c r="D294">
        <v>44</v>
      </c>
      <c r="E294">
        <v>276</v>
      </c>
      <c r="F294">
        <v>2100.1297549999999</v>
      </c>
      <c r="G294" t="s">
        <v>55</v>
      </c>
      <c r="H294">
        <v>90</v>
      </c>
      <c r="I294">
        <v>25</v>
      </c>
      <c r="J294">
        <v>10</v>
      </c>
      <c r="K294">
        <v>8</v>
      </c>
      <c r="L294" t="s">
        <v>27</v>
      </c>
      <c r="M294">
        <v>4.4695000260000004</v>
      </c>
      <c r="N294" t="s">
        <v>61</v>
      </c>
      <c r="O294" t="s">
        <v>29</v>
      </c>
      <c r="P294">
        <v>4</v>
      </c>
      <c r="Q294">
        <v>671</v>
      </c>
      <c r="R294">
        <v>29</v>
      </c>
      <c r="S294">
        <v>62.612690399999998</v>
      </c>
      <c r="T294" t="s">
        <v>64</v>
      </c>
      <c r="U294">
        <v>0.33343182500000002</v>
      </c>
      <c r="V294" t="s">
        <v>47</v>
      </c>
      <c r="W294" t="s">
        <v>32</v>
      </c>
      <c r="X294">
        <v>230.0927825</v>
      </c>
    </row>
    <row r="295" spans="1:24" x14ac:dyDescent="0.3">
      <c r="A295" t="s">
        <v>24</v>
      </c>
      <c r="B295" t="s">
        <v>147</v>
      </c>
      <c r="C295">
        <v>69.290830999999997</v>
      </c>
      <c r="D295">
        <v>88</v>
      </c>
      <c r="E295">
        <v>114</v>
      </c>
      <c r="F295">
        <v>4531.4021339999999</v>
      </c>
      <c r="G295" t="s">
        <v>38</v>
      </c>
      <c r="H295">
        <v>63</v>
      </c>
      <c r="I295">
        <v>17</v>
      </c>
      <c r="J295">
        <v>66</v>
      </c>
      <c r="K295">
        <v>1</v>
      </c>
      <c r="L295" t="s">
        <v>43</v>
      </c>
      <c r="M295">
        <v>7.0064320589999998</v>
      </c>
      <c r="N295" t="s">
        <v>52</v>
      </c>
      <c r="O295" t="s">
        <v>62</v>
      </c>
      <c r="P295">
        <v>21</v>
      </c>
      <c r="Q295">
        <v>824</v>
      </c>
      <c r="R295">
        <v>20</v>
      </c>
      <c r="S295">
        <v>35.633652339999998</v>
      </c>
      <c r="T295" t="s">
        <v>46</v>
      </c>
      <c r="U295">
        <v>4.165781795</v>
      </c>
      <c r="V295" t="s">
        <v>40</v>
      </c>
      <c r="W295" t="s">
        <v>48</v>
      </c>
      <c r="X295">
        <v>823.52384589999997</v>
      </c>
    </row>
    <row r="296" spans="1:24" x14ac:dyDescent="0.3">
      <c r="A296" t="s">
        <v>57</v>
      </c>
      <c r="B296" t="s">
        <v>148</v>
      </c>
      <c r="C296">
        <v>3.0376887250000002</v>
      </c>
      <c r="D296">
        <v>97</v>
      </c>
      <c r="E296">
        <v>987</v>
      </c>
      <c r="F296">
        <v>7888.3565470000003</v>
      </c>
      <c r="G296" t="s">
        <v>38</v>
      </c>
      <c r="H296">
        <v>77</v>
      </c>
      <c r="I296">
        <v>26</v>
      </c>
      <c r="J296">
        <v>72</v>
      </c>
      <c r="K296">
        <v>9</v>
      </c>
      <c r="L296" t="s">
        <v>27</v>
      </c>
      <c r="M296">
        <v>6.9429459419999997</v>
      </c>
      <c r="N296" t="s">
        <v>61</v>
      </c>
      <c r="O296" t="s">
        <v>50</v>
      </c>
      <c r="P296">
        <v>12</v>
      </c>
      <c r="Q296">
        <v>908</v>
      </c>
      <c r="R296">
        <v>14</v>
      </c>
      <c r="S296">
        <v>60.387378609999999</v>
      </c>
      <c r="T296" t="s">
        <v>64</v>
      </c>
      <c r="U296">
        <v>1.463607498</v>
      </c>
      <c r="V296" t="s">
        <v>47</v>
      </c>
      <c r="W296" t="s">
        <v>32</v>
      </c>
      <c r="X296">
        <v>846.665257</v>
      </c>
    </row>
    <row r="297" spans="1:24" x14ac:dyDescent="0.3">
      <c r="A297" t="s">
        <v>24</v>
      </c>
      <c r="B297" t="s">
        <v>149</v>
      </c>
      <c r="C297">
        <v>77.90392722</v>
      </c>
      <c r="D297">
        <v>65</v>
      </c>
      <c r="E297">
        <v>672</v>
      </c>
      <c r="F297">
        <v>7386.3639439999997</v>
      </c>
      <c r="G297" t="s">
        <v>38</v>
      </c>
      <c r="H297">
        <v>15</v>
      </c>
      <c r="I297">
        <v>14</v>
      </c>
      <c r="J297">
        <v>26</v>
      </c>
      <c r="K297">
        <v>9</v>
      </c>
      <c r="L297" t="s">
        <v>27</v>
      </c>
      <c r="M297">
        <v>8.6303388699999992</v>
      </c>
      <c r="N297" t="s">
        <v>52</v>
      </c>
      <c r="O297" t="s">
        <v>29</v>
      </c>
      <c r="P297">
        <v>18</v>
      </c>
      <c r="Q297">
        <v>450</v>
      </c>
      <c r="R297">
        <v>26</v>
      </c>
      <c r="S297">
        <v>58.890685769999997</v>
      </c>
      <c r="T297" t="s">
        <v>30</v>
      </c>
      <c r="U297">
        <v>1.2108821299999999</v>
      </c>
      <c r="V297" t="s">
        <v>40</v>
      </c>
      <c r="W297" t="s">
        <v>48</v>
      </c>
      <c r="X297">
        <v>778.86424139999997</v>
      </c>
    </row>
    <row r="298" spans="1:24" x14ac:dyDescent="0.3">
      <c r="A298" t="s">
        <v>57</v>
      </c>
      <c r="B298" t="s">
        <v>150</v>
      </c>
      <c r="C298">
        <v>24.423131420000001</v>
      </c>
      <c r="D298">
        <v>29</v>
      </c>
      <c r="E298">
        <v>324</v>
      </c>
      <c r="F298">
        <v>7698.4247660000001</v>
      </c>
      <c r="G298" t="s">
        <v>26</v>
      </c>
      <c r="H298">
        <v>67</v>
      </c>
      <c r="I298">
        <v>2</v>
      </c>
      <c r="J298">
        <v>32</v>
      </c>
      <c r="K298">
        <v>3</v>
      </c>
      <c r="L298" t="s">
        <v>43</v>
      </c>
      <c r="M298">
        <v>5.3528780439999997</v>
      </c>
      <c r="N298" t="s">
        <v>28</v>
      </c>
      <c r="O298" t="s">
        <v>29</v>
      </c>
      <c r="P298">
        <v>28</v>
      </c>
      <c r="Q298">
        <v>648</v>
      </c>
      <c r="R298">
        <v>28</v>
      </c>
      <c r="S298">
        <v>17.803756329999999</v>
      </c>
      <c r="T298" t="s">
        <v>30</v>
      </c>
      <c r="U298">
        <v>3.8720476810000002</v>
      </c>
      <c r="V298" t="s">
        <v>31</v>
      </c>
      <c r="W298" t="s">
        <v>48</v>
      </c>
      <c r="X298">
        <v>188.7421411</v>
      </c>
    </row>
    <row r="299" spans="1:24" x14ac:dyDescent="0.3">
      <c r="A299" t="s">
        <v>24</v>
      </c>
      <c r="B299" t="s">
        <v>151</v>
      </c>
      <c r="C299">
        <v>3.5261112589999999</v>
      </c>
      <c r="D299">
        <v>56</v>
      </c>
      <c r="E299">
        <v>62</v>
      </c>
      <c r="F299">
        <v>4370.9165800000001</v>
      </c>
      <c r="G299" t="s">
        <v>55</v>
      </c>
      <c r="H299">
        <v>46</v>
      </c>
      <c r="I299">
        <v>19</v>
      </c>
      <c r="J299">
        <v>4</v>
      </c>
      <c r="K299">
        <v>9</v>
      </c>
      <c r="L299" t="s">
        <v>36</v>
      </c>
      <c r="M299">
        <v>7.9048456109999998</v>
      </c>
      <c r="N299" t="s">
        <v>52</v>
      </c>
      <c r="O299" t="s">
        <v>29</v>
      </c>
      <c r="P299">
        <v>10</v>
      </c>
      <c r="Q299">
        <v>535</v>
      </c>
      <c r="R299">
        <v>13</v>
      </c>
      <c r="S299">
        <v>65.765155930000006</v>
      </c>
      <c r="T299" t="s">
        <v>46</v>
      </c>
      <c r="U299">
        <v>3.376237835</v>
      </c>
      <c r="V299" t="s">
        <v>31</v>
      </c>
      <c r="W299" t="s">
        <v>48</v>
      </c>
      <c r="X299">
        <v>540.13242290000005</v>
      </c>
    </row>
    <row r="300" spans="1:24" x14ac:dyDescent="0.3">
      <c r="A300" t="s">
        <v>33</v>
      </c>
      <c r="B300" t="s">
        <v>152</v>
      </c>
      <c r="C300">
        <v>19.754604870000001</v>
      </c>
      <c r="D300">
        <v>43</v>
      </c>
      <c r="E300">
        <v>913</v>
      </c>
      <c r="F300">
        <v>8525.9525599999997</v>
      </c>
      <c r="G300" t="s">
        <v>35</v>
      </c>
      <c r="H300">
        <v>53</v>
      </c>
      <c r="I300">
        <v>1</v>
      </c>
      <c r="J300">
        <v>27</v>
      </c>
      <c r="K300">
        <v>7</v>
      </c>
      <c r="L300" t="s">
        <v>27</v>
      </c>
      <c r="M300">
        <v>1.4098010949999999</v>
      </c>
      <c r="N300" t="s">
        <v>44</v>
      </c>
      <c r="O300" t="s">
        <v>62</v>
      </c>
      <c r="P300">
        <v>28</v>
      </c>
      <c r="Q300">
        <v>581</v>
      </c>
      <c r="R300">
        <v>9</v>
      </c>
      <c r="S300">
        <v>5.6046908640000002</v>
      </c>
      <c r="T300" t="s">
        <v>30</v>
      </c>
      <c r="U300">
        <v>2.9081221689999999</v>
      </c>
      <c r="V300" t="s">
        <v>47</v>
      </c>
      <c r="W300" t="s">
        <v>48</v>
      </c>
      <c r="X300">
        <v>882.19886350000002</v>
      </c>
    </row>
    <row r="301" spans="1:24" x14ac:dyDescent="0.3">
      <c r="A301" t="s">
        <v>24</v>
      </c>
      <c r="B301" t="s">
        <v>153</v>
      </c>
      <c r="C301">
        <v>68.5178327</v>
      </c>
      <c r="D301">
        <v>17</v>
      </c>
      <c r="E301">
        <v>627</v>
      </c>
      <c r="F301">
        <v>9185.185829</v>
      </c>
      <c r="G301" t="s">
        <v>38</v>
      </c>
      <c r="H301">
        <v>55</v>
      </c>
      <c r="I301">
        <v>8</v>
      </c>
      <c r="J301">
        <v>59</v>
      </c>
      <c r="K301">
        <v>6</v>
      </c>
      <c r="L301" t="s">
        <v>27</v>
      </c>
      <c r="M301">
        <v>1.311023756</v>
      </c>
      <c r="N301" t="s">
        <v>61</v>
      </c>
      <c r="O301" t="s">
        <v>62</v>
      </c>
      <c r="P301">
        <v>29</v>
      </c>
      <c r="Q301">
        <v>921</v>
      </c>
      <c r="R301">
        <v>2</v>
      </c>
      <c r="S301">
        <v>38.072898520000003</v>
      </c>
      <c r="T301" t="s">
        <v>46</v>
      </c>
      <c r="U301">
        <v>0.34602729100000001</v>
      </c>
      <c r="V301" t="s">
        <v>47</v>
      </c>
      <c r="W301" t="s">
        <v>32</v>
      </c>
      <c r="X301">
        <v>210.743009</v>
      </c>
    </row>
    <row r="302" spans="1:24" x14ac:dyDescent="0.3">
      <c r="A302" t="s">
        <v>24</v>
      </c>
      <c r="B302" t="s">
        <v>25</v>
      </c>
      <c r="C302">
        <v>69.808005539999996</v>
      </c>
      <c r="D302">
        <v>55</v>
      </c>
      <c r="E302">
        <v>802</v>
      </c>
      <c r="F302">
        <v>8661.9967919999999</v>
      </c>
      <c r="G302" t="s">
        <v>26</v>
      </c>
      <c r="H302">
        <v>58</v>
      </c>
      <c r="I302">
        <v>7</v>
      </c>
      <c r="J302">
        <v>96</v>
      </c>
      <c r="K302">
        <v>4</v>
      </c>
      <c r="L302" t="s">
        <v>27</v>
      </c>
      <c r="M302">
        <v>2.9565721389999999</v>
      </c>
      <c r="N302" t="s">
        <v>28</v>
      </c>
      <c r="O302" t="s">
        <v>29</v>
      </c>
      <c r="P302">
        <v>29</v>
      </c>
      <c r="Q302">
        <v>215</v>
      </c>
      <c r="R302">
        <v>29</v>
      </c>
      <c r="S302">
        <v>46.27987924</v>
      </c>
      <c r="T302" t="s">
        <v>30</v>
      </c>
      <c r="U302">
        <v>0.226410361</v>
      </c>
      <c r="V302" t="s">
        <v>31</v>
      </c>
      <c r="W302" t="s">
        <v>32</v>
      </c>
      <c r="X302">
        <v>187.75207549999999</v>
      </c>
    </row>
    <row r="303" spans="1:24" x14ac:dyDescent="0.3">
      <c r="A303" t="s">
        <v>33</v>
      </c>
      <c r="B303" t="s">
        <v>34</v>
      </c>
      <c r="C303">
        <v>14.843523279999999</v>
      </c>
      <c r="D303">
        <v>95</v>
      </c>
      <c r="E303">
        <v>736</v>
      </c>
      <c r="F303">
        <v>7460.9000649999998</v>
      </c>
      <c r="G303" t="s">
        <v>35</v>
      </c>
      <c r="H303">
        <v>53</v>
      </c>
      <c r="I303">
        <v>30</v>
      </c>
      <c r="J303">
        <v>37</v>
      </c>
      <c r="K303">
        <v>2</v>
      </c>
      <c r="L303" t="s">
        <v>36</v>
      </c>
      <c r="M303">
        <v>9.7165747709999994</v>
      </c>
      <c r="N303" t="s">
        <v>28</v>
      </c>
      <c r="O303" t="s">
        <v>29</v>
      </c>
      <c r="P303">
        <v>23</v>
      </c>
      <c r="Q303">
        <v>517</v>
      </c>
      <c r="R303">
        <v>30</v>
      </c>
      <c r="S303">
        <v>33.616768950000001</v>
      </c>
      <c r="T303" t="s">
        <v>30</v>
      </c>
      <c r="U303">
        <v>4.8540680260000002</v>
      </c>
      <c r="V303" t="s">
        <v>31</v>
      </c>
      <c r="W303" t="s">
        <v>32</v>
      </c>
      <c r="X303">
        <v>503.06557909999998</v>
      </c>
    </row>
    <row r="304" spans="1:24" x14ac:dyDescent="0.3">
      <c r="A304" t="s">
        <v>24</v>
      </c>
      <c r="B304" t="s">
        <v>37</v>
      </c>
      <c r="C304">
        <v>11.31968329</v>
      </c>
      <c r="D304">
        <v>34</v>
      </c>
      <c r="E304">
        <v>8</v>
      </c>
      <c r="F304">
        <v>9577.7496260000007</v>
      </c>
      <c r="G304" t="s">
        <v>38</v>
      </c>
      <c r="H304">
        <v>1</v>
      </c>
      <c r="I304">
        <v>10</v>
      </c>
      <c r="J304">
        <v>88</v>
      </c>
      <c r="K304">
        <v>2</v>
      </c>
      <c r="L304" t="s">
        <v>27</v>
      </c>
      <c r="M304">
        <v>8.0544792619999992</v>
      </c>
      <c r="N304" t="s">
        <v>39</v>
      </c>
      <c r="O304" t="s">
        <v>29</v>
      </c>
      <c r="P304">
        <v>12</v>
      </c>
      <c r="Q304">
        <v>971</v>
      </c>
      <c r="R304">
        <v>27</v>
      </c>
      <c r="S304">
        <v>30.688019350000001</v>
      </c>
      <c r="T304" t="s">
        <v>30</v>
      </c>
      <c r="U304">
        <v>4.5805926189999999</v>
      </c>
      <c r="V304" t="s">
        <v>40</v>
      </c>
      <c r="W304" t="s">
        <v>41</v>
      </c>
      <c r="X304">
        <v>141.9202818</v>
      </c>
    </row>
    <row r="305" spans="1:24" x14ac:dyDescent="0.3">
      <c r="A305" t="s">
        <v>33</v>
      </c>
      <c r="B305" t="s">
        <v>42</v>
      </c>
      <c r="C305">
        <v>61.163343019999999</v>
      </c>
      <c r="D305">
        <v>68</v>
      </c>
      <c r="E305">
        <v>83</v>
      </c>
      <c r="F305">
        <v>7766.8364259999998</v>
      </c>
      <c r="G305" t="s">
        <v>26</v>
      </c>
      <c r="H305">
        <v>23</v>
      </c>
      <c r="I305">
        <v>13</v>
      </c>
      <c r="J305">
        <v>59</v>
      </c>
      <c r="K305">
        <v>6</v>
      </c>
      <c r="L305" t="s">
        <v>43</v>
      </c>
      <c r="M305">
        <v>1.729568564</v>
      </c>
      <c r="N305" t="s">
        <v>44</v>
      </c>
      <c r="O305" t="s">
        <v>45</v>
      </c>
      <c r="P305">
        <v>24</v>
      </c>
      <c r="Q305">
        <v>937</v>
      </c>
      <c r="R305">
        <v>18</v>
      </c>
      <c r="S305">
        <v>35.624741399999998</v>
      </c>
      <c r="T305" t="s">
        <v>46</v>
      </c>
      <c r="U305">
        <v>4.7466486210000003</v>
      </c>
      <c r="V305" t="s">
        <v>47</v>
      </c>
      <c r="W305" t="s">
        <v>48</v>
      </c>
      <c r="X305">
        <v>254.7761592</v>
      </c>
    </row>
    <row r="306" spans="1:24" x14ac:dyDescent="0.3">
      <c r="A306" t="s">
        <v>33</v>
      </c>
      <c r="B306" t="s">
        <v>49</v>
      </c>
      <c r="C306">
        <v>4.8054960360000001</v>
      </c>
      <c r="D306">
        <v>26</v>
      </c>
      <c r="E306">
        <v>871</v>
      </c>
      <c r="F306">
        <v>2686.5051520000002</v>
      </c>
      <c r="G306" t="s">
        <v>26</v>
      </c>
      <c r="H306">
        <v>5</v>
      </c>
      <c r="I306">
        <v>3</v>
      </c>
      <c r="J306">
        <v>56</v>
      </c>
      <c r="K306">
        <v>8</v>
      </c>
      <c r="L306" t="s">
        <v>36</v>
      </c>
      <c r="M306">
        <v>3.8905479160000001</v>
      </c>
      <c r="N306" t="s">
        <v>39</v>
      </c>
      <c r="O306" t="s">
        <v>50</v>
      </c>
      <c r="P306">
        <v>5</v>
      </c>
      <c r="Q306">
        <v>414</v>
      </c>
      <c r="R306">
        <v>3</v>
      </c>
      <c r="S306">
        <v>92.065160599999999</v>
      </c>
      <c r="T306" t="s">
        <v>46</v>
      </c>
      <c r="U306">
        <v>3.1455795229999999</v>
      </c>
      <c r="V306" t="s">
        <v>40</v>
      </c>
      <c r="W306" t="s">
        <v>48</v>
      </c>
      <c r="X306">
        <v>923.44063170000004</v>
      </c>
    </row>
    <row r="307" spans="1:24" x14ac:dyDescent="0.3">
      <c r="A307" t="s">
        <v>24</v>
      </c>
      <c r="B307" t="s">
        <v>51</v>
      </c>
      <c r="C307">
        <v>1.699976014</v>
      </c>
      <c r="D307">
        <v>87</v>
      </c>
      <c r="E307">
        <v>147</v>
      </c>
      <c r="F307">
        <v>2828.3487460000001</v>
      </c>
      <c r="G307" t="s">
        <v>26</v>
      </c>
      <c r="H307">
        <v>90</v>
      </c>
      <c r="I307">
        <v>27</v>
      </c>
      <c r="J307">
        <v>66</v>
      </c>
      <c r="K307">
        <v>3</v>
      </c>
      <c r="L307" t="s">
        <v>27</v>
      </c>
      <c r="M307">
        <v>4.4440988639999999</v>
      </c>
      <c r="N307" t="s">
        <v>52</v>
      </c>
      <c r="O307" t="s">
        <v>53</v>
      </c>
      <c r="P307">
        <v>10</v>
      </c>
      <c r="Q307">
        <v>104</v>
      </c>
      <c r="R307">
        <v>17</v>
      </c>
      <c r="S307">
        <v>56.766475560000003</v>
      </c>
      <c r="T307" t="s">
        <v>46</v>
      </c>
      <c r="U307">
        <v>2.779193512</v>
      </c>
      <c r="V307" t="s">
        <v>31</v>
      </c>
      <c r="W307" t="s">
        <v>48</v>
      </c>
      <c r="X307">
        <v>235.4612367</v>
      </c>
    </row>
    <row r="308" spans="1:24" x14ac:dyDescent="0.3">
      <c r="A308" t="s">
        <v>33</v>
      </c>
      <c r="B308" t="s">
        <v>54</v>
      </c>
      <c r="C308">
        <v>4.078332863</v>
      </c>
      <c r="D308">
        <v>48</v>
      </c>
      <c r="E308">
        <v>65</v>
      </c>
      <c r="F308">
        <v>7823.4765600000001</v>
      </c>
      <c r="G308" t="s">
        <v>55</v>
      </c>
      <c r="H308">
        <v>11</v>
      </c>
      <c r="I308">
        <v>15</v>
      </c>
      <c r="J308">
        <v>58</v>
      </c>
      <c r="K308">
        <v>8</v>
      </c>
      <c r="L308" t="s">
        <v>43</v>
      </c>
      <c r="M308">
        <v>3.8807633030000002</v>
      </c>
      <c r="N308" t="s">
        <v>28</v>
      </c>
      <c r="O308" t="s">
        <v>45</v>
      </c>
      <c r="P308">
        <v>14</v>
      </c>
      <c r="Q308">
        <v>314</v>
      </c>
      <c r="R308">
        <v>24</v>
      </c>
      <c r="S308">
        <v>1.08506857</v>
      </c>
      <c r="T308" t="s">
        <v>30</v>
      </c>
      <c r="U308">
        <v>1.0009106189999999</v>
      </c>
      <c r="V308" t="s">
        <v>56</v>
      </c>
      <c r="W308" t="s">
        <v>48</v>
      </c>
      <c r="X308">
        <v>134.36909689999999</v>
      </c>
    </row>
    <row r="309" spans="1:24" x14ac:dyDescent="0.3">
      <c r="A309" t="s">
        <v>57</v>
      </c>
      <c r="B309" t="s">
        <v>58</v>
      </c>
      <c r="C309">
        <v>42.958384379999998</v>
      </c>
      <c r="D309">
        <v>59</v>
      </c>
      <c r="E309">
        <v>426</v>
      </c>
      <c r="F309">
        <v>8496.1038129999997</v>
      </c>
      <c r="G309" t="s">
        <v>35</v>
      </c>
      <c r="H309">
        <v>93</v>
      </c>
      <c r="I309">
        <v>17</v>
      </c>
      <c r="J309">
        <v>11</v>
      </c>
      <c r="K309">
        <v>1</v>
      </c>
      <c r="L309" t="s">
        <v>27</v>
      </c>
      <c r="M309">
        <v>2.3483387840000001</v>
      </c>
      <c r="N309" t="s">
        <v>52</v>
      </c>
      <c r="O309" t="s">
        <v>53</v>
      </c>
      <c r="P309">
        <v>22</v>
      </c>
      <c r="Q309">
        <v>564</v>
      </c>
      <c r="R309">
        <v>1</v>
      </c>
      <c r="S309">
        <v>99.466108599999998</v>
      </c>
      <c r="T309" t="s">
        <v>46</v>
      </c>
      <c r="U309">
        <v>0.39817718699999999</v>
      </c>
      <c r="V309" t="s">
        <v>31</v>
      </c>
      <c r="W309" t="s">
        <v>41</v>
      </c>
      <c r="X309">
        <v>802.0563118</v>
      </c>
    </row>
    <row r="310" spans="1:24" x14ac:dyDescent="0.3">
      <c r="A310" t="s">
        <v>57</v>
      </c>
      <c r="B310" t="s">
        <v>59</v>
      </c>
      <c r="C310">
        <v>68.717596749999998</v>
      </c>
      <c r="D310">
        <v>78</v>
      </c>
      <c r="E310">
        <v>150</v>
      </c>
      <c r="F310">
        <v>7517.3632109999999</v>
      </c>
      <c r="G310" t="s">
        <v>35</v>
      </c>
      <c r="H310">
        <v>5</v>
      </c>
      <c r="I310">
        <v>10</v>
      </c>
      <c r="J310">
        <v>15</v>
      </c>
      <c r="K310">
        <v>7</v>
      </c>
      <c r="L310" t="s">
        <v>43</v>
      </c>
      <c r="M310">
        <v>3.4047338570000001</v>
      </c>
      <c r="N310" t="s">
        <v>52</v>
      </c>
      <c r="O310" t="s">
        <v>29</v>
      </c>
      <c r="P310">
        <v>13</v>
      </c>
      <c r="Q310">
        <v>769</v>
      </c>
      <c r="R310">
        <v>8</v>
      </c>
      <c r="S310">
        <v>11.42302714</v>
      </c>
      <c r="T310" t="s">
        <v>30</v>
      </c>
      <c r="U310">
        <v>2.7098626910000001</v>
      </c>
      <c r="V310" t="s">
        <v>56</v>
      </c>
      <c r="W310" t="s">
        <v>32</v>
      </c>
      <c r="X310">
        <v>505.55713420000001</v>
      </c>
    </row>
    <row r="311" spans="1:24" x14ac:dyDescent="0.3">
      <c r="A311" t="s">
        <v>33</v>
      </c>
      <c r="B311" t="s">
        <v>60</v>
      </c>
      <c r="C311">
        <v>64.015732940000007</v>
      </c>
      <c r="D311">
        <v>35</v>
      </c>
      <c r="E311">
        <v>980</v>
      </c>
      <c r="F311">
        <v>4971.1459880000002</v>
      </c>
      <c r="G311" t="s">
        <v>38</v>
      </c>
      <c r="H311">
        <v>14</v>
      </c>
      <c r="I311">
        <v>27</v>
      </c>
      <c r="J311">
        <v>83</v>
      </c>
      <c r="K311">
        <v>1</v>
      </c>
      <c r="L311" t="s">
        <v>36</v>
      </c>
      <c r="M311">
        <v>7.166645291</v>
      </c>
      <c r="N311" t="s">
        <v>61</v>
      </c>
      <c r="O311" t="s">
        <v>62</v>
      </c>
      <c r="P311">
        <v>29</v>
      </c>
      <c r="Q311">
        <v>963</v>
      </c>
      <c r="R311">
        <v>23</v>
      </c>
      <c r="S311">
        <v>47.957601629999999</v>
      </c>
      <c r="T311" t="s">
        <v>30</v>
      </c>
      <c r="U311">
        <v>3.8446144790000001</v>
      </c>
      <c r="V311" t="s">
        <v>47</v>
      </c>
      <c r="W311" t="s">
        <v>32</v>
      </c>
      <c r="X311">
        <v>995.9294615</v>
      </c>
    </row>
    <row r="312" spans="1:24" x14ac:dyDescent="0.3">
      <c r="A312" t="s">
        <v>33</v>
      </c>
      <c r="B312" t="s">
        <v>63</v>
      </c>
      <c r="C312">
        <v>15.70779568</v>
      </c>
      <c r="D312">
        <v>11</v>
      </c>
      <c r="E312">
        <v>996</v>
      </c>
      <c r="F312">
        <v>2330.9658020000002</v>
      </c>
      <c r="G312" t="s">
        <v>26</v>
      </c>
      <c r="H312">
        <v>51</v>
      </c>
      <c r="I312">
        <v>13</v>
      </c>
      <c r="J312">
        <v>80</v>
      </c>
      <c r="K312">
        <v>2</v>
      </c>
      <c r="L312" t="s">
        <v>43</v>
      </c>
      <c r="M312">
        <v>8.6732112109999999</v>
      </c>
      <c r="N312" t="s">
        <v>44</v>
      </c>
      <c r="O312" t="s">
        <v>45</v>
      </c>
      <c r="P312">
        <v>18</v>
      </c>
      <c r="Q312">
        <v>830</v>
      </c>
      <c r="R312">
        <v>5</v>
      </c>
      <c r="S312">
        <v>96.527352789999995</v>
      </c>
      <c r="T312" t="s">
        <v>64</v>
      </c>
      <c r="U312">
        <v>1.7273139280000001</v>
      </c>
      <c r="V312" t="s">
        <v>31</v>
      </c>
      <c r="W312" t="s">
        <v>32</v>
      </c>
      <c r="X312">
        <v>806.10317769999995</v>
      </c>
    </row>
    <row r="313" spans="1:24" x14ac:dyDescent="0.3">
      <c r="A313" t="s">
        <v>33</v>
      </c>
      <c r="B313" t="s">
        <v>65</v>
      </c>
      <c r="C313">
        <v>90.635459979999993</v>
      </c>
      <c r="D313">
        <v>95</v>
      </c>
      <c r="E313">
        <v>960</v>
      </c>
      <c r="F313">
        <v>6099.9441159999997</v>
      </c>
      <c r="G313" t="s">
        <v>35</v>
      </c>
      <c r="H313">
        <v>46</v>
      </c>
      <c r="I313">
        <v>23</v>
      </c>
      <c r="J313">
        <v>60</v>
      </c>
      <c r="K313">
        <v>1</v>
      </c>
      <c r="L313" t="s">
        <v>36</v>
      </c>
      <c r="M313">
        <v>4.5239431239999996</v>
      </c>
      <c r="N313" t="s">
        <v>61</v>
      </c>
      <c r="O313" t="s">
        <v>45</v>
      </c>
      <c r="P313">
        <v>28</v>
      </c>
      <c r="Q313">
        <v>362</v>
      </c>
      <c r="R313">
        <v>11</v>
      </c>
      <c r="S313">
        <v>27.592363089999999</v>
      </c>
      <c r="T313" t="s">
        <v>30</v>
      </c>
      <c r="U313">
        <v>2.1169820999999998E-2</v>
      </c>
      <c r="V313" t="s">
        <v>40</v>
      </c>
      <c r="W313" t="s">
        <v>48</v>
      </c>
      <c r="X313">
        <v>126.72303340000001</v>
      </c>
    </row>
    <row r="314" spans="1:24" x14ac:dyDescent="0.3">
      <c r="A314" t="s">
        <v>24</v>
      </c>
      <c r="B314" t="s">
        <v>66</v>
      </c>
      <c r="C314">
        <v>71.213389079999999</v>
      </c>
      <c r="D314">
        <v>41</v>
      </c>
      <c r="E314">
        <v>336</v>
      </c>
      <c r="F314">
        <v>2873.741446</v>
      </c>
      <c r="G314" t="s">
        <v>38</v>
      </c>
      <c r="H314">
        <v>100</v>
      </c>
      <c r="I314">
        <v>30</v>
      </c>
      <c r="J314">
        <v>85</v>
      </c>
      <c r="K314">
        <v>4</v>
      </c>
      <c r="L314" t="s">
        <v>36</v>
      </c>
      <c r="M314">
        <v>1.32527401</v>
      </c>
      <c r="N314" t="s">
        <v>52</v>
      </c>
      <c r="O314" t="s">
        <v>45</v>
      </c>
      <c r="P314">
        <v>3</v>
      </c>
      <c r="Q314">
        <v>563</v>
      </c>
      <c r="R314">
        <v>3</v>
      </c>
      <c r="S314">
        <v>32.321286209999997</v>
      </c>
      <c r="T314" t="s">
        <v>46</v>
      </c>
      <c r="U314">
        <v>2.161253748</v>
      </c>
      <c r="V314" t="s">
        <v>31</v>
      </c>
      <c r="W314" t="s">
        <v>32</v>
      </c>
      <c r="X314">
        <v>402.96878909999998</v>
      </c>
    </row>
    <row r="315" spans="1:24" x14ac:dyDescent="0.3">
      <c r="A315" t="s">
        <v>33</v>
      </c>
      <c r="B315" t="s">
        <v>67</v>
      </c>
      <c r="C315">
        <v>16.160393320000001</v>
      </c>
      <c r="D315">
        <v>5</v>
      </c>
      <c r="E315">
        <v>249</v>
      </c>
      <c r="F315">
        <v>4052.7384160000001</v>
      </c>
      <c r="G315" t="s">
        <v>55</v>
      </c>
      <c r="H315">
        <v>80</v>
      </c>
      <c r="I315">
        <v>8</v>
      </c>
      <c r="J315">
        <v>48</v>
      </c>
      <c r="K315">
        <v>9</v>
      </c>
      <c r="L315" t="s">
        <v>36</v>
      </c>
      <c r="M315">
        <v>9.5372830610000001</v>
      </c>
      <c r="N315" t="s">
        <v>44</v>
      </c>
      <c r="O315" t="s">
        <v>53</v>
      </c>
      <c r="P315">
        <v>23</v>
      </c>
      <c r="Q315">
        <v>173</v>
      </c>
      <c r="R315">
        <v>10</v>
      </c>
      <c r="S315">
        <v>97.829050109999997</v>
      </c>
      <c r="T315" t="s">
        <v>30</v>
      </c>
      <c r="U315">
        <v>1.6310742300000001</v>
      </c>
      <c r="V315" t="s">
        <v>31</v>
      </c>
      <c r="W315" t="s">
        <v>32</v>
      </c>
      <c r="X315">
        <v>547.24100520000002</v>
      </c>
    </row>
    <row r="316" spans="1:24" x14ac:dyDescent="0.3">
      <c r="A316" t="s">
        <v>33</v>
      </c>
      <c r="B316" t="s">
        <v>68</v>
      </c>
      <c r="C316">
        <v>99.171328639999999</v>
      </c>
      <c r="D316">
        <v>26</v>
      </c>
      <c r="E316">
        <v>562</v>
      </c>
      <c r="F316">
        <v>8653.5709260000003</v>
      </c>
      <c r="G316" t="s">
        <v>26</v>
      </c>
      <c r="H316">
        <v>54</v>
      </c>
      <c r="I316">
        <v>29</v>
      </c>
      <c r="J316">
        <v>78</v>
      </c>
      <c r="K316">
        <v>5</v>
      </c>
      <c r="L316" t="s">
        <v>27</v>
      </c>
      <c r="M316">
        <v>2.039770189</v>
      </c>
      <c r="N316" t="s">
        <v>39</v>
      </c>
      <c r="O316" t="s">
        <v>45</v>
      </c>
      <c r="P316">
        <v>25</v>
      </c>
      <c r="Q316">
        <v>558</v>
      </c>
      <c r="R316">
        <v>14</v>
      </c>
      <c r="S316">
        <v>5.7914366299999998</v>
      </c>
      <c r="T316" t="s">
        <v>30</v>
      </c>
      <c r="U316">
        <v>0.100682852</v>
      </c>
      <c r="V316" t="s">
        <v>40</v>
      </c>
      <c r="W316" t="s">
        <v>32</v>
      </c>
      <c r="X316">
        <v>929.23528999999996</v>
      </c>
    </row>
    <row r="317" spans="1:24" x14ac:dyDescent="0.3">
      <c r="A317" t="s">
        <v>33</v>
      </c>
      <c r="B317" t="s">
        <v>69</v>
      </c>
      <c r="C317">
        <v>36.989244929999998</v>
      </c>
      <c r="D317">
        <v>94</v>
      </c>
      <c r="E317">
        <v>469</v>
      </c>
      <c r="F317">
        <v>5442.0867850000004</v>
      </c>
      <c r="G317" t="s">
        <v>26</v>
      </c>
      <c r="H317">
        <v>9</v>
      </c>
      <c r="I317">
        <v>8</v>
      </c>
      <c r="J317">
        <v>69</v>
      </c>
      <c r="K317">
        <v>7</v>
      </c>
      <c r="L317" t="s">
        <v>27</v>
      </c>
      <c r="M317">
        <v>2.4220397230000001</v>
      </c>
      <c r="N317" t="s">
        <v>39</v>
      </c>
      <c r="O317" t="s">
        <v>53</v>
      </c>
      <c r="P317">
        <v>14</v>
      </c>
      <c r="Q317">
        <v>580</v>
      </c>
      <c r="R317">
        <v>7</v>
      </c>
      <c r="S317">
        <v>97.121281749999994</v>
      </c>
      <c r="T317" t="s">
        <v>64</v>
      </c>
      <c r="U317">
        <v>2.2644057609999999</v>
      </c>
      <c r="V317" t="s">
        <v>56</v>
      </c>
      <c r="W317" t="s">
        <v>32</v>
      </c>
      <c r="X317">
        <v>127.8618</v>
      </c>
    </row>
    <row r="318" spans="1:24" x14ac:dyDescent="0.3">
      <c r="A318" t="s">
        <v>33</v>
      </c>
      <c r="B318" t="s">
        <v>70</v>
      </c>
      <c r="C318">
        <v>7.54717211</v>
      </c>
      <c r="D318">
        <v>74</v>
      </c>
      <c r="E318">
        <v>280</v>
      </c>
      <c r="F318">
        <v>6453.7979679999999</v>
      </c>
      <c r="G318" t="s">
        <v>35</v>
      </c>
      <c r="H318">
        <v>2</v>
      </c>
      <c r="I318">
        <v>5</v>
      </c>
      <c r="J318">
        <v>78</v>
      </c>
      <c r="K318">
        <v>1</v>
      </c>
      <c r="L318" t="s">
        <v>27</v>
      </c>
      <c r="M318">
        <v>4.1913245860000004</v>
      </c>
      <c r="N318" t="s">
        <v>39</v>
      </c>
      <c r="O318" t="s">
        <v>53</v>
      </c>
      <c r="P318">
        <v>3</v>
      </c>
      <c r="Q318">
        <v>399</v>
      </c>
      <c r="R318">
        <v>21</v>
      </c>
      <c r="S318">
        <v>77.106342499999997</v>
      </c>
      <c r="T318" t="s">
        <v>64</v>
      </c>
      <c r="U318">
        <v>1.0125630889999999</v>
      </c>
      <c r="V318" t="s">
        <v>40</v>
      </c>
      <c r="W318" t="s">
        <v>48</v>
      </c>
      <c r="X318">
        <v>865.52577980000001</v>
      </c>
    </row>
    <row r="319" spans="1:24" x14ac:dyDescent="0.3">
      <c r="A319" t="s">
        <v>57</v>
      </c>
      <c r="B319" t="s">
        <v>71</v>
      </c>
      <c r="C319">
        <v>81.46253437</v>
      </c>
      <c r="D319">
        <v>82</v>
      </c>
      <c r="E319">
        <v>126</v>
      </c>
      <c r="F319">
        <v>2629.3964350000001</v>
      </c>
      <c r="G319" t="s">
        <v>35</v>
      </c>
      <c r="H319">
        <v>45</v>
      </c>
      <c r="I319">
        <v>17</v>
      </c>
      <c r="J319">
        <v>85</v>
      </c>
      <c r="K319">
        <v>9</v>
      </c>
      <c r="L319" t="s">
        <v>43</v>
      </c>
      <c r="M319">
        <v>3.585418958</v>
      </c>
      <c r="N319" t="s">
        <v>39</v>
      </c>
      <c r="O319" t="s">
        <v>62</v>
      </c>
      <c r="P319">
        <v>7</v>
      </c>
      <c r="Q319">
        <v>453</v>
      </c>
      <c r="R319">
        <v>16</v>
      </c>
      <c r="S319">
        <v>47.67968037</v>
      </c>
      <c r="T319" t="s">
        <v>46</v>
      </c>
      <c r="U319">
        <v>0.102020755</v>
      </c>
      <c r="V319" t="s">
        <v>40</v>
      </c>
      <c r="W319" t="s">
        <v>41</v>
      </c>
      <c r="X319">
        <v>670.93439079999996</v>
      </c>
    </row>
    <row r="320" spans="1:24" x14ac:dyDescent="0.3">
      <c r="A320" t="s">
        <v>24</v>
      </c>
      <c r="B320" t="s">
        <v>72</v>
      </c>
      <c r="C320">
        <v>36.443627769999999</v>
      </c>
      <c r="D320">
        <v>23</v>
      </c>
      <c r="E320">
        <v>620</v>
      </c>
      <c r="F320">
        <v>9364.6735050000007</v>
      </c>
      <c r="G320" t="s">
        <v>38</v>
      </c>
      <c r="H320">
        <v>10</v>
      </c>
      <c r="I320">
        <v>10</v>
      </c>
      <c r="J320">
        <v>46</v>
      </c>
      <c r="K320">
        <v>8</v>
      </c>
      <c r="L320" t="s">
        <v>43</v>
      </c>
      <c r="M320">
        <v>4.3392247140000002</v>
      </c>
      <c r="N320" t="s">
        <v>61</v>
      </c>
      <c r="O320" t="s">
        <v>45</v>
      </c>
      <c r="P320">
        <v>18</v>
      </c>
      <c r="Q320">
        <v>374</v>
      </c>
      <c r="R320">
        <v>17</v>
      </c>
      <c r="S320">
        <v>27.107980850000001</v>
      </c>
      <c r="T320" t="s">
        <v>30</v>
      </c>
      <c r="U320">
        <v>2.231939111</v>
      </c>
      <c r="V320" t="s">
        <v>56</v>
      </c>
      <c r="W320" t="s">
        <v>48</v>
      </c>
      <c r="X320">
        <v>593.48025870000004</v>
      </c>
    </row>
    <row r="321" spans="1:24" x14ac:dyDescent="0.3">
      <c r="A321" t="s">
        <v>33</v>
      </c>
      <c r="B321" t="s">
        <v>73</v>
      </c>
      <c r="C321">
        <v>51.123870089999997</v>
      </c>
      <c r="D321">
        <v>100</v>
      </c>
      <c r="E321">
        <v>187</v>
      </c>
      <c r="F321">
        <v>2553.4955850000001</v>
      </c>
      <c r="G321" t="s">
        <v>38</v>
      </c>
      <c r="H321">
        <v>48</v>
      </c>
      <c r="I321">
        <v>11</v>
      </c>
      <c r="J321">
        <v>94</v>
      </c>
      <c r="K321">
        <v>3</v>
      </c>
      <c r="L321" t="s">
        <v>36</v>
      </c>
      <c r="M321">
        <v>4.7426358830000002</v>
      </c>
      <c r="N321" t="s">
        <v>52</v>
      </c>
      <c r="O321" t="s">
        <v>62</v>
      </c>
      <c r="P321">
        <v>20</v>
      </c>
      <c r="Q321">
        <v>694</v>
      </c>
      <c r="R321">
        <v>16</v>
      </c>
      <c r="S321">
        <v>82.373320590000006</v>
      </c>
      <c r="T321" t="s">
        <v>46</v>
      </c>
      <c r="U321">
        <v>3.6464508649999998</v>
      </c>
      <c r="V321" t="s">
        <v>31</v>
      </c>
      <c r="W321" t="s">
        <v>41</v>
      </c>
      <c r="X321">
        <v>477.30763109999998</v>
      </c>
    </row>
    <row r="322" spans="1:24" x14ac:dyDescent="0.3">
      <c r="A322" t="s">
        <v>33</v>
      </c>
      <c r="B322" t="s">
        <v>74</v>
      </c>
      <c r="C322">
        <v>96.341072440000005</v>
      </c>
      <c r="D322">
        <v>22</v>
      </c>
      <c r="E322">
        <v>320</v>
      </c>
      <c r="F322">
        <v>8128.0276970000004</v>
      </c>
      <c r="G322" t="s">
        <v>38</v>
      </c>
      <c r="H322">
        <v>27</v>
      </c>
      <c r="I322">
        <v>12</v>
      </c>
      <c r="J322">
        <v>68</v>
      </c>
      <c r="K322">
        <v>6</v>
      </c>
      <c r="L322" t="s">
        <v>36</v>
      </c>
      <c r="M322">
        <v>8.8783346509999994</v>
      </c>
      <c r="N322" t="s">
        <v>39</v>
      </c>
      <c r="O322" t="s">
        <v>62</v>
      </c>
      <c r="P322">
        <v>29</v>
      </c>
      <c r="Q322">
        <v>309</v>
      </c>
      <c r="R322">
        <v>6</v>
      </c>
      <c r="S322">
        <v>65.686259609999993</v>
      </c>
      <c r="T322" t="s">
        <v>64</v>
      </c>
      <c r="U322">
        <v>4.2314165739999998</v>
      </c>
      <c r="V322" t="s">
        <v>40</v>
      </c>
      <c r="W322" t="s">
        <v>32</v>
      </c>
      <c r="X322">
        <v>493.87121530000002</v>
      </c>
    </row>
    <row r="323" spans="1:24" x14ac:dyDescent="0.3">
      <c r="A323" t="s">
        <v>57</v>
      </c>
      <c r="B323" t="s">
        <v>75</v>
      </c>
      <c r="C323">
        <v>84.893868979999993</v>
      </c>
      <c r="D323">
        <v>60</v>
      </c>
      <c r="E323">
        <v>601</v>
      </c>
      <c r="F323">
        <v>7087.0526959999997</v>
      </c>
      <c r="G323" t="s">
        <v>38</v>
      </c>
      <c r="H323">
        <v>69</v>
      </c>
      <c r="I323">
        <v>25</v>
      </c>
      <c r="J323">
        <v>7</v>
      </c>
      <c r="K323">
        <v>6</v>
      </c>
      <c r="L323" t="s">
        <v>27</v>
      </c>
      <c r="M323">
        <v>6.0378837689999996</v>
      </c>
      <c r="N323" t="s">
        <v>44</v>
      </c>
      <c r="O323" t="s">
        <v>62</v>
      </c>
      <c r="P323">
        <v>19</v>
      </c>
      <c r="Q323">
        <v>791</v>
      </c>
      <c r="R323">
        <v>4</v>
      </c>
      <c r="S323">
        <v>61.735728950000002</v>
      </c>
      <c r="T323" t="s">
        <v>30</v>
      </c>
      <c r="U323">
        <v>1.8607568000000001E-2</v>
      </c>
      <c r="V323" t="s">
        <v>40</v>
      </c>
      <c r="W323" t="s">
        <v>41</v>
      </c>
      <c r="X323">
        <v>523.36091469999997</v>
      </c>
    </row>
    <row r="324" spans="1:24" x14ac:dyDescent="0.3">
      <c r="A324" t="s">
        <v>24</v>
      </c>
      <c r="B324" t="s">
        <v>76</v>
      </c>
      <c r="C324">
        <v>27.67978089</v>
      </c>
      <c r="D324">
        <v>55</v>
      </c>
      <c r="E324">
        <v>884</v>
      </c>
      <c r="F324">
        <v>2390.807867</v>
      </c>
      <c r="G324" t="s">
        <v>38</v>
      </c>
      <c r="H324">
        <v>71</v>
      </c>
      <c r="I324">
        <v>1</v>
      </c>
      <c r="J324">
        <v>63</v>
      </c>
      <c r="K324">
        <v>10</v>
      </c>
      <c r="L324" t="s">
        <v>36</v>
      </c>
      <c r="M324">
        <v>9.567648921</v>
      </c>
      <c r="N324" t="s">
        <v>52</v>
      </c>
      <c r="O324" t="s">
        <v>45</v>
      </c>
      <c r="P324">
        <v>22</v>
      </c>
      <c r="Q324">
        <v>780</v>
      </c>
      <c r="R324">
        <v>28</v>
      </c>
      <c r="S324">
        <v>50.120839609999997</v>
      </c>
      <c r="T324" t="s">
        <v>46</v>
      </c>
      <c r="U324">
        <v>2.5912754730000001</v>
      </c>
      <c r="V324" t="s">
        <v>47</v>
      </c>
      <c r="W324" t="s">
        <v>41</v>
      </c>
      <c r="X324">
        <v>205.5719958</v>
      </c>
    </row>
    <row r="325" spans="1:24" x14ac:dyDescent="0.3">
      <c r="A325" t="s">
        <v>57</v>
      </c>
      <c r="B325" t="s">
        <v>77</v>
      </c>
      <c r="C325">
        <v>4.3243411859999998</v>
      </c>
      <c r="D325">
        <v>30</v>
      </c>
      <c r="E325">
        <v>391</v>
      </c>
      <c r="F325">
        <v>8858.3675710000007</v>
      </c>
      <c r="G325" t="s">
        <v>38</v>
      </c>
      <c r="H325">
        <v>84</v>
      </c>
      <c r="I325">
        <v>5</v>
      </c>
      <c r="J325">
        <v>29</v>
      </c>
      <c r="K325">
        <v>7</v>
      </c>
      <c r="L325" t="s">
        <v>36</v>
      </c>
      <c r="M325">
        <v>2.9248576009999998</v>
      </c>
      <c r="N325" t="s">
        <v>44</v>
      </c>
      <c r="O325" t="s">
        <v>45</v>
      </c>
      <c r="P325">
        <v>11</v>
      </c>
      <c r="Q325">
        <v>568</v>
      </c>
      <c r="R325">
        <v>29</v>
      </c>
      <c r="S325">
        <v>98.60995724</v>
      </c>
      <c r="T325" t="s">
        <v>30</v>
      </c>
      <c r="U325">
        <v>1.3422915630000001</v>
      </c>
      <c r="V325" t="s">
        <v>47</v>
      </c>
      <c r="W325" t="s">
        <v>48</v>
      </c>
      <c r="X325">
        <v>196.32944610000001</v>
      </c>
    </row>
    <row r="326" spans="1:24" x14ac:dyDescent="0.3">
      <c r="A326" t="s">
        <v>24</v>
      </c>
      <c r="B326" t="s">
        <v>78</v>
      </c>
      <c r="C326">
        <v>4.1563083589999996</v>
      </c>
      <c r="D326">
        <v>32</v>
      </c>
      <c r="E326">
        <v>209</v>
      </c>
      <c r="F326">
        <v>9049.0778609999998</v>
      </c>
      <c r="G326" t="s">
        <v>55</v>
      </c>
      <c r="H326">
        <v>4</v>
      </c>
      <c r="I326">
        <v>26</v>
      </c>
      <c r="J326">
        <v>2</v>
      </c>
      <c r="K326">
        <v>8</v>
      </c>
      <c r="L326" t="s">
        <v>43</v>
      </c>
      <c r="M326">
        <v>9.7412916890000005</v>
      </c>
      <c r="N326" t="s">
        <v>61</v>
      </c>
      <c r="O326" t="s">
        <v>53</v>
      </c>
      <c r="P326">
        <v>28</v>
      </c>
      <c r="Q326">
        <v>447</v>
      </c>
      <c r="R326">
        <v>3</v>
      </c>
      <c r="S326">
        <v>40.382359700000002</v>
      </c>
      <c r="T326" t="s">
        <v>30</v>
      </c>
      <c r="U326">
        <v>3.6913102929999999</v>
      </c>
      <c r="V326" t="s">
        <v>40</v>
      </c>
      <c r="W326" t="s">
        <v>48</v>
      </c>
      <c r="X326">
        <v>758.72477260000005</v>
      </c>
    </row>
    <row r="327" spans="1:24" x14ac:dyDescent="0.3">
      <c r="A327" t="s">
        <v>24</v>
      </c>
      <c r="B327" t="s">
        <v>79</v>
      </c>
      <c r="C327">
        <v>39.629343990000002</v>
      </c>
      <c r="D327">
        <v>73</v>
      </c>
      <c r="E327">
        <v>142</v>
      </c>
      <c r="F327">
        <v>2174.7770540000001</v>
      </c>
      <c r="G327" t="s">
        <v>55</v>
      </c>
      <c r="H327">
        <v>82</v>
      </c>
      <c r="I327">
        <v>11</v>
      </c>
      <c r="J327">
        <v>52</v>
      </c>
      <c r="K327">
        <v>3</v>
      </c>
      <c r="L327" t="s">
        <v>43</v>
      </c>
      <c r="M327">
        <v>2.2310736809999998</v>
      </c>
      <c r="N327" t="s">
        <v>52</v>
      </c>
      <c r="O327" t="s">
        <v>45</v>
      </c>
      <c r="P327">
        <v>19</v>
      </c>
      <c r="Q327">
        <v>934</v>
      </c>
      <c r="R327">
        <v>23</v>
      </c>
      <c r="S327">
        <v>78.280383119999996</v>
      </c>
      <c r="T327" t="s">
        <v>30</v>
      </c>
      <c r="U327">
        <v>3.7972312170000002</v>
      </c>
      <c r="V327" t="s">
        <v>31</v>
      </c>
      <c r="W327" t="s">
        <v>32</v>
      </c>
      <c r="X327">
        <v>458.53594570000001</v>
      </c>
    </row>
    <row r="328" spans="1:24" x14ac:dyDescent="0.3">
      <c r="A328" t="s">
        <v>24</v>
      </c>
      <c r="B328" t="s">
        <v>80</v>
      </c>
      <c r="C328">
        <v>97.446946620000006</v>
      </c>
      <c r="D328">
        <v>9</v>
      </c>
      <c r="E328">
        <v>353</v>
      </c>
      <c r="F328">
        <v>3716.4933259999998</v>
      </c>
      <c r="G328" t="s">
        <v>55</v>
      </c>
      <c r="H328">
        <v>59</v>
      </c>
      <c r="I328">
        <v>16</v>
      </c>
      <c r="J328">
        <v>48</v>
      </c>
      <c r="K328">
        <v>4</v>
      </c>
      <c r="L328" t="s">
        <v>27</v>
      </c>
      <c r="M328">
        <v>6.5075486209999998</v>
      </c>
      <c r="N328" t="s">
        <v>61</v>
      </c>
      <c r="O328" t="s">
        <v>53</v>
      </c>
      <c r="P328">
        <v>26</v>
      </c>
      <c r="Q328">
        <v>171</v>
      </c>
      <c r="R328">
        <v>4</v>
      </c>
      <c r="S328">
        <v>15.972229759999999</v>
      </c>
      <c r="T328" t="s">
        <v>64</v>
      </c>
      <c r="U328">
        <v>2.1193197370000001</v>
      </c>
      <c r="V328" t="s">
        <v>47</v>
      </c>
      <c r="W328" t="s">
        <v>48</v>
      </c>
      <c r="X328">
        <v>617.8669165</v>
      </c>
    </row>
    <row r="329" spans="1:24" x14ac:dyDescent="0.3">
      <c r="A329" t="s">
        <v>57</v>
      </c>
      <c r="B329" t="s">
        <v>81</v>
      </c>
      <c r="C329">
        <v>92.557360810000006</v>
      </c>
      <c r="D329">
        <v>42</v>
      </c>
      <c r="E329">
        <v>352</v>
      </c>
      <c r="F329">
        <v>2686.4572240000002</v>
      </c>
      <c r="G329" t="s">
        <v>38</v>
      </c>
      <c r="H329">
        <v>47</v>
      </c>
      <c r="I329">
        <v>9</v>
      </c>
      <c r="J329">
        <v>62</v>
      </c>
      <c r="K329">
        <v>8</v>
      </c>
      <c r="L329" t="s">
        <v>43</v>
      </c>
      <c r="M329">
        <v>7.4067509530000004</v>
      </c>
      <c r="N329" t="s">
        <v>44</v>
      </c>
      <c r="O329" t="s">
        <v>29</v>
      </c>
      <c r="P329">
        <v>25</v>
      </c>
      <c r="Q329">
        <v>291</v>
      </c>
      <c r="R329">
        <v>4</v>
      </c>
      <c r="S329">
        <v>10.528245070000001</v>
      </c>
      <c r="T329" t="s">
        <v>46</v>
      </c>
      <c r="U329">
        <v>2.8646678379999999</v>
      </c>
      <c r="V329" t="s">
        <v>56</v>
      </c>
      <c r="W329" t="s">
        <v>32</v>
      </c>
      <c r="X329">
        <v>762.45918219999999</v>
      </c>
    </row>
    <row r="330" spans="1:24" x14ac:dyDescent="0.3">
      <c r="A330" t="s">
        <v>57</v>
      </c>
      <c r="B330" t="s">
        <v>82</v>
      </c>
      <c r="C330">
        <v>2.3972747060000001</v>
      </c>
      <c r="D330">
        <v>12</v>
      </c>
      <c r="E330">
        <v>394</v>
      </c>
      <c r="F330">
        <v>6117.3246150000004</v>
      </c>
      <c r="G330" t="s">
        <v>35</v>
      </c>
      <c r="H330">
        <v>48</v>
      </c>
      <c r="I330">
        <v>15</v>
      </c>
      <c r="J330">
        <v>24</v>
      </c>
      <c r="K330">
        <v>4</v>
      </c>
      <c r="L330" t="s">
        <v>27</v>
      </c>
      <c r="M330">
        <v>9.8981405079999991</v>
      </c>
      <c r="N330" t="s">
        <v>39</v>
      </c>
      <c r="O330" t="s">
        <v>29</v>
      </c>
      <c r="P330">
        <v>13</v>
      </c>
      <c r="Q330">
        <v>171</v>
      </c>
      <c r="R330">
        <v>7</v>
      </c>
      <c r="S330">
        <v>59.429381810000002</v>
      </c>
      <c r="T330" t="s">
        <v>46</v>
      </c>
      <c r="U330">
        <v>0.81575707900000005</v>
      </c>
      <c r="V330" t="s">
        <v>40</v>
      </c>
      <c r="W330" t="s">
        <v>48</v>
      </c>
      <c r="X330">
        <v>123.4370275</v>
      </c>
    </row>
    <row r="331" spans="1:24" x14ac:dyDescent="0.3">
      <c r="A331" t="s">
        <v>57</v>
      </c>
      <c r="B331" t="s">
        <v>83</v>
      </c>
      <c r="C331">
        <v>63.44755919</v>
      </c>
      <c r="D331">
        <v>3</v>
      </c>
      <c r="E331">
        <v>253</v>
      </c>
      <c r="F331">
        <v>8318.9031950000008</v>
      </c>
      <c r="G331" t="s">
        <v>35</v>
      </c>
      <c r="H331">
        <v>45</v>
      </c>
      <c r="I331">
        <v>5</v>
      </c>
      <c r="J331">
        <v>67</v>
      </c>
      <c r="K331">
        <v>7</v>
      </c>
      <c r="L331" t="s">
        <v>27</v>
      </c>
      <c r="M331">
        <v>8.1009731449999993</v>
      </c>
      <c r="N331" t="s">
        <v>39</v>
      </c>
      <c r="O331" t="s">
        <v>45</v>
      </c>
      <c r="P331">
        <v>16</v>
      </c>
      <c r="Q331">
        <v>329</v>
      </c>
      <c r="R331">
        <v>7</v>
      </c>
      <c r="S331">
        <v>39.292875590000001</v>
      </c>
      <c r="T331" t="s">
        <v>64</v>
      </c>
      <c r="U331">
        <v>3.8780989369999999</v>
      </c>
      <c r="V331" t="s">
        <v>31</v>
      </c>
      <c r="W331" t="s">
        <v>32</v>
      </c>
      <c r="X331">
        <v>764.93537590000005</v>
      </c>
    </row>
    <row r="332" spans="1:24" x14ac:dyDescent="0.3">
      <c r="A332" t="s">
        <v>24</v>
      </c>
      <c r="B332" t="s">
        <v>84</v>
      </c>
      <c r="C332">
        <v>8.0228592110000001</v>
      </c>
      <c r="D332">
        <v>10</v>
      </c>
      <c r="E332">
        <v>327</v>
      </c>
      <c r="F332">
        <v>2766.3423670000002</v>
      </c>
      <c r="G332" t="s">
        <v>55</v>
      </c>
      <c r="H332">
        <v>60</v>
      </c>
      <c r="I332">
        <v>26</v>
      </c>
      <c r="J332">
        <v>35</v>
      </c>
      <c r="K332">
        <v>7</v>
      </c>
      <c r="L332" t="s">
        <v>27</v>
      </c>
      <c r="M332">
        <v>8.9545283149999992</v>
      </c>
      <c r="N332" t="s">
        <v>52</v>
      </c>
      <c r="O332" t="s">
        <v>45</v>
      </c>
      <c r="P332">
        <v>27</v>
      </c>
      <c r="Q332">
        <v>806</v>
      </c>
      <c r="R332">
        <v>30</v>
      </c>
      <c r="S332">
        <v>51.634893400000003</v>
      </c>
      <c r="T332" t="s">
        <v>30</v>
      </c>
      <c r="U332">
        <v>0.96539470500000002</v>
      </c>
      <c r="V332" t="s">
        <v>31</v>
      </c>
      <c r="W332" t="s">
        <v>41</v>
      </c>
      <c r="X332">
        <v>880.08098819999998</v>
      </c>
    </row>
    <row r="333" spans="1:24" x14ac:dyDescent="0.3">
      <c r="A333" t="s">
        <v>33</v>
      </c>
      <c r="B333" t="s">
        <v>85</v>
      </c>
      <c r="C333">
        <v>50.847393050000001</v>
      </c>
      <c r="D333">
        <v>28</v>
      </c>
      <c r="E333">
        <v>168</v>
      </c>
      <c r="F333">
        <v>9655.1351030000005</v>
      </c>
      <c r="G333" t="s">
        <v>55</v>
      </c>
      <c r="H333">
        <v>6</v>
      </c>
      <c r="I333">
        <v>17</v>
      </c>
      <c r="J333">
        <v>44</v>
      </c>
      <c r="K333">
        <v>4</v>
      </c>
      <c r="L333" t="s">
        <v>27</v>
      </c>
      <c r="M333">
        <v>2.6796609650000001</v>
      </c>
      <c r="N333" t="s">
        <v>28</v>
      </c>
      <c r="O333" t="s">
        <v>62</v>
      </c>
      <c r="P333">
        <v>24</v>
      </c>
      <c r="Q333">
        <v>461</v>
      </c>
      <c r="R333">
        <v>8</v>
      </c>
      <c r="S333">
        <v>60.251145659999999</v>
      </c>
      <c r="T333" t="s">
        <v>30</v>
      </c>
      <c r="U333">
        <v>2.989000007</v>
      </c>
      <c r="V333" t="s">
        <v>47</v>
      </c>
      <c r="W333" t="s">
        <v>41</v>
      </c>
      <c r="X333">
        <v>609.37920659999997</v>
      </c>
    </row>
    <row r="334" spans="1:24" x14ac:dyDescent="0.3">
      <c r="A334" t="s">
        <v>33</v>
      </c>
      <c r="B334" t="s">
        <v>86</v>
      </c>
      <c r="C334">
        <v>79.209936020000001</v>
      </c>
      <c r="D334">
        <v>43</v>
      </c>
      <c r="E334">
        <v>781</v>
      </c>
      <c r="F334">
        <v>9571.5504870000004</v>
      </c>
      <c r="G334" t="s">
        <v>38</v>
      </c>
      <c r="H334">
        <v>89</v>
      </c>
      <c r="I334">
        <v>13</v>
      </c>
      <c r="J334">
        <v>64</v>
      </c>
      <c r="K334">
        <v>4</v>
      </c>
      <c r="L334" t="s">
        <v>43</v>
      </c>
      <c r="M334">
        <v>6.5991049009999996</v>
      </c>
      <c r="N334" t="s">
        <v>28</v>
      </c>
      <c r="O334" t="s">
        <v>45</v>
      </c>
      <c r="P334">
        <v>30</v>
      </c>
      <c r="Q334">
        <v>737</v>
      </c>
      <c r="R334">
        <v>7</v>
      </c>
      <c r="S334">
        <v>29.692467149999999</v>
      </c>
      <c r="T334" t="s">
        <v>64</v>
      </c>
      <c r="U334">
        <v>1.946036119</v>
      </c>
      <c r="V334" t="s">
        <v>31</v>
      </c>
      <c r="W334" t="s">
        <v>48</v>
      </c>
      <c r="X334">
        <v>761.17390950000004</v>
      </c>
    </row>
    <row r="335" spans="1:24" x14ac:dyDescent="0.3">
      <c r="A335" t="s">
        <v>57</v>
      </c>
      <c r="B335" t="s">
        <v>87</v>
      </c>
      <c r="C335">
        <v>64.795434999999998</v>
      </c>
      <c r="D335">
        <v>63</v>
      </c>
      <c r="E335">
        <v>616</v>
      </c>
      <c r="F335">
        <v>5149.9983499999998</v>
      </c>
      <c r="G335" t="s">
        <v>26</v>
      </c>
      <c r="H335">
        <v>4</v>
      </c>
      <c r="I335">
        <v>17</v>
      </c>
      <c r="J335">
        <v>95</v>
      </c>
      <c r="K335">
        <v>9</v>
      </c>
      <c r="L335" t="s">
        <v>43</v>
      </c>
      <c r="M335">
        <v>4.858270503</v>
      </c>
      <c r="N335" t="s">
        <v>44</v>
      </c>
      <c r="O335" t="s">
        <v>62</v>
      </c>
      <c r="P335">
        <v>1</v>
      </c>
      <c r="Q335">
        <v>251</v>
      </c>
      <c r="R335">
        <v>23</v>
      </c>
      <c r="S335">
        <v>23.85342751</v>
      </c>
      <c r="T335" t="s">
        <v>46</v>
      </c>
      <c r="U335">
        <v>3.5410460119999998</v>
      </c>
      <c r="V335" t="s">
        <v>56</v>
      </c>
      <c r="W335" t="s">
        <v>48</v>
      </c>
      <c r="X335">
        <v>371.25529549999999</v>
      </c>
    </row>
    <row r="336" spans="1:24" x14ac:dyDescent="0.3">
      <c r="A336" t="s">
        <v>33</v>
      </c>
      <c r="B336" t="s">
        <v>88</v>
      </c>
      <c r="C336">
        <v>37.467592330000002</v>
      </c>
      <c r="D336">
        <v>96</v>
      </c>
      <c r="E336">
        <v>602</v>
      </c>
      <c r="F336">
        <v>9061.7108960000005</v>
      </c>
      <c r="G336" t="s">
        <v>38</v>
      </c>
      <c r="H336">
        <v>1</v>
      </c>
      <c r="I336">
        <v>26</v>
      </c>
      <c r="J336">
        <v>21</v>
      </c>
      <c r="K336">
        <v>7</v>
      </c>
      <c r="L336" t="s">
        <v>36</v>
      </c>
      <c r="M336">
        <v>1.019487571</v>
      </c>
      <c r="N336" t="s">
        <v>39</v>
      </c>
      <c r="O336" t="s">
        <v>62</v>
      </c>
      <c r="P336">
        <v>4</v>
      </c>
      <c r="Q336">
        <v>452</v>
      </c>
      <c r="R336">
        <v>10</v>
      </c>
      <c r="S336">
        <v>10.754272820000001</v>
      </c>
      <c r="T336" t="s">
        <v>64</v>
      </c>
      <c r="U336">
        <v>0.64660455900000002</v>
      </c>
      <c r="V336" t="s">
        <v>31</v>
      </c>
      <c r="W336" t="s">
        <v>32</v>
      </c>
      <c r="X336">
        <v>510.35800039999998</v>
      </c>
    </row>
    <row r="337" spans="1:24" x14ac:dyDescent="0.3">
      <c r="A337" t="s">
        <v>57</v>
      </c>
      <c r="B337" t="s">
        <v>89</v>
      </c>
      <c r="C337">
        <v>84.957786819999995</v>
      </c>
      <c r="D337">
        <v>11</v>
      </c>
      <c r="E337">
        <v>449</v>
      </c>
      <c r="F337">
        <v>6541.3293450000001</v>
      </c>
      <c r="G337" t="s">
        <v>35</v>
      </c>
      <c r="H337">
        <v>42</v>
      </c>
      <c r="I337">
        <v>27</v>
      </c>
      <c r="J337">
        <v>85</v>
      </c>
      <c r="K337">
        <v>8</v>
      </c>
      <c r="L337" t="s">
        <v>43</v>
      </c>
      <c r="M337">
        <v>5.2881899900000002</v>
      </c>
      <c r="N337" t="s">
        <v>39</v>
      </c>
      <c r="O337" t="s">
        <v>50</v>
      </c>
      <c r="P337">
        <v>3</v>
      </c>
      <c r="Q337">
        <v>367</v>
      </c>
      <c r="R337">
        <v>2</v>
      </c>
      <c r="S337">
        <v>58.004787039999997</v>
      </c>
      <c r="T337" t="s">
        <v>64</v>
      </c>
      <c r="U337">
        <v>0.54115409800000003</v>
      </c>
      <c r="V337" t="s">
        <v>56</v>
      </c>
      <c r="W337" t="s">
        <v>41</v>
      </c>
      <c r="X337">
        <v>553.42047119999995</v>
      </c>
    </row>
    <row r="338" spans="1:24" x14ac:dyDescent="0.3">
      <c r="A338" t="s">
        <v>33</v>
      </c>
      <c r="B338" t="s">
        <v>90</v>
      </c>
      <c r="C338">
        <v>9.8130025790000008</v>
      </c>
      <c r="D338">
        <v>34</v>
      </c>
      <c r="E338">
        <v>963</v>
      </c>
      <c r="F338">
        <v>7573.4024579999996</v>
      </c>
      <c r="G338" t="s">
        <v>35</v>
      </c>
      <c r="H338">
        <v>18</v>
      </c>
      <c r="I338">
        <v>23</v>
      </c>
      <c r="J338">
        <v>28</v>
      </c>
      <c r="K338">
        <v>3</v>
      </c>
      <c r="L338" t="s">
        <v>27</v>
      </c>
      <c r="M338">
        <v>2.1079512669999998</v>
      </c>
      <c r="N338" t="s">
        <v>61</v>
      </c>
      <c r="O338" t="s">
        <v>50</v>
      </c>
      <c r="P338">
        <v>26</v>
      </c>
      <c r="Q338">
        <v>671</v>
      </c>
      <c r="R338">
        <v>19</v>
      </c>
      <c r="S338">
        <v>45.531364240000002</v>
      </c>
      <c r="T338" t="s">
        <v>46</v>
      </c>
      <c r="U338">
        <v>3.8055333789999999</v>
      </c>
      <c r="V338" t="s">
        <v>40</v>
      </c>
      <c r="W338" t="s">
        <v>41</v>
      </c>
      <c r="X338">
        <v>403.80897420000002</v>
      </c>
    </row>
    <row r="339" spans="1:24" x14ac:dyDescent="0.3">
      <c r="A339" t="s">
        <v>33</v>
      </c>
      <c r="B339" t="s">
        <v>91</v>
      </c>
      <c r="C339">
        <v>23.39984475</v>
      </c>
      <c r="D339">
        <v>5</v>
      </c>
      <c r="E339">
        <v>963</v>
      </c>
      <c r="F339">
        <v>2438.3399300000001</v>
      </c>
      <c r="G339" t="s">
        <v>35</v>
      </c>
      <c r="H339">
        <v>25</v>
      </c>
      <c r="I339">
        <v>8</v>
      </c>
      <c r="J339">
        <v>21</v>
      </c>
      <c r="K339">
        <v>9</v>
      </c>
      <c r="L339" t="s">
        <v>36</v>
      </c>
      <c r="M339">
        <v>1.5326552739999999</v>
      </c>
      <c r="N339" t="s">
        <v>28</v>
      </c>
      <c r="O339" t="s">
        <v>45</v>
      </c>
      <c r="P339">
        <v>24</v>
      </c>
      <c r="Q339">
        <v>867</v>
      </c>
      <c r="R339">
        <v>15</v>
      </c>
      <c r="S339">
        <v>34.343277469999997</v>
      </c>
      <c r="T339" t="s">
        <v>30</v>
      </c>
      <c r="U339">
        <v>2.6102880850000001</v>
      </c>
      <c r="V339" t="s">
        <v>56</v>
      </c>
      <c r="W339" t="s">
        <v>48</v>
      </c>
      <c r="X339">
        <v>183.93296799999999</v>
      </c>
    </row>
    <row r="340" spans="1:24" x14ac:dyDescent="0.3">
      <c r="A340" t="s">
        <v>57</v>
      </c>
      <c r="B340" t="s">
        <v>92</v>
      </c>
      <c r="C340">
        <v>52.075930679999999</v>
      </c>
      <c r="D340">
        <v>75</v>
      </c>
      <c r="E340">
        <v>705</v>
      </c>
      <c r="F340">
        <v>9692.3180400000001</v>
      </c>
      <c r="G340" t="s">
        <v>26</v>
      </c>
      <c r="H340">
        <v>69</v>
      </c>
      <c r="I340">
        <v>1</v>
      </c>
      <c r="J340">
        <v>88</v>
      </c>
      <c r="K340">
        <v>5</v>
      </c>
      <c r="L340" t="s">
        <v>27</v>
      </c>
      <c r="M340">
        <v>9.2359314369999996</v>
      </c>
      <c r="N340" t="s">
        <v>44</v>
      </c>
      <c r="O340" t="s">
        <v>29</v>
      </c>
      <c r="P340">
        <v>10</v>
      </c>
      <c r="Q340">
        <v>841</v>
      </c>
      <c r="R340">
        <v>12</v>
      </c>
      <c r="S340">
        <v>5.9306936459999999</v>
      </c>
      <c r="T340" t="s">
        <v>30</v>
      </c>
      <c r="U340">
        <v>0.61332689900000004</v>
      </c>
      <c r="V340" t="s">
        <v>40</v>
      </c>
      <c r="W340" t="s">
        <v>32</v>
      </c>
      <c r="X340">
        <v>339.67286990000002</v>
      </c>
    </row>
    <row r="341" spans="1:24" x14ac:dyDescent="0.3">
      <c r="A341" t="s">
        <v>33</v>
      </c>
      <c r="B341" t="s">
        <v>93</v>
      </c>
      <c r="C341">
        <v>19.12747727</v>
      </c>
      <c r="D341">
        <v>26</v>
      </c>
      <c r="E341">
        <v>176</v>
      </c>
      <c r="F341">
        <v>1912.4656629999999</v>
      </c>
      <c r="G341" t="s">
        <v>35</v>
      </c>
      <c r="H341">
        <v>78</v>
      </c>
      <c r="I341">
        <v>29</v>
      </c>
      <c r="J341">
        <v>34</v>
      </c>
      <c r="K341">
        <v>3</v>
      </c>
      <c r="L341" t="s">
        <v>36</v>
      </c>
      <c r="M341">
        <v>5.562503779</v>
      </c>
      <c r="N341" t="s">
        <v>61</v>
      </c>
      <c r="O341" t="s">
        <v>45</v>
      </c>
      <c r="P341">
        <v>30</v>
      </c>
      <c r="Q341">
        <v>791</v>
      </c>
      <c r="R341">
        <v>6</v>
      </c>
      <c r="S341">
        <v>9.0058074290000008</v>
      </c>
      <c r="T341" t="s">
        <v>46</v>
      </c>
      <c r="U341">
        <v>1.451972204</v>
      </c>
      <c r="V341" t="s">
        <v>40</v>
      </c>
      <c r="W341" t="s">
        <v>32</v>
      </c>
      <c r="X341">
        <v>653.67299460000004</v>
      </c>
    </row>
    <row r="342" spans="1:24" x14ac:dyDescent="0.3">
      <c r="A342" t="s">
        <v>33</v>
      </c>
      <c r="B342" t="s">
        <v>94</v>
      </c>
      <c r="C342">
        <v>80.541424169999999</v>
      </c>
      <c r="D342">
        <v>97</v>
      </c>
      <c r="E342">
        <v>933</v>
      </c>
      <c r="F342">
        <v>5724.9593500000001</v>
      </c>
      <c r="G342" t="s">
        <v>35</v>
      </c>
      <c r="H342">
        <v>90</v>
      </c>
      <c r="I342">
        <v>20</v>
      </c>
      <c r="J342">
        <v>39</v>
      </c>
      <c r="K342">
        <v>8</v>
      </c>
      <c r="L342" t="s">
        <v>43</v>
      </c>
      <c r="M342">
        <v>7.2295951399999998</v>
      </c>
      <c r="N342" t="s">
        <v>39</v>
      </c>
      <c r="O342" t="s">
        <v>45</v>
      </c>
      <c r="P342">
        <v>18</v>
      </c>
      <c r="Q342">
        <v>793</v>
      </c>
      <c r="R342">
        <v>1</v>
      </c>
      <c r="S342">
        <v>88.179407100000006</v>
      </c>
      <c r="T342" t="s">
        <v>30</v>
      </c>
      <c r="U342">
        <v>4.2132694309999996</v>
      </c>
      <c r="V342" t="s">
        <v>31</v>
      </c>
      <c r="W342" t="s">
        <v>48</v>
      </c>
      <c r="X342">
        <v>529.80872399999998</v>
      </c>
    </row>
    <row r="343" spans="1:24" x14ac:dyDescent="0.3">
      <c r="A343" t="s">
        <v>33</v>
      </c>
      <c r="B343" t="s">
        <v>95</v>
      </c>
      <c r="C343">
        <v>99.113291619999998</v>
      </c>
      <c r="D343">
        <v>35</v>
      </c>
      <c r="E343">
        <v>556</v>
      </c>
      <c r="F343">
        <v>5521.2052590000003</v>
      </c>
      <c r="G343" t="s">
        <v>35</v>
      </c>
      <c r="H343">
        <v>64</v>
      </c>
      <c r="I343">
        <v>19</v>
      </c>
      <c r="J343">
        <v>38</v>
      </c>
      <c r="K343">
        <v>8</v>
      </c>
      <c r="L343" t="s">
        <v>27</v>
      </c>
      <c r="M343">
        <v>5.7732637440000003</v>
      </c>
      <c r="N343" t="s">
        <v>52</v>
      </c>
      <c r="O343" t="s">
        <v>62</v>
      </c>
      <c r="P343">
        <v>18</v>
      </c>
      <c r="Q343">
        <v>892</v>
      </c>
      <c r="R343">
        <v>7</v>
      </c>
      <c r="S343">
        <v>95.332064549999998</v>
      </c>
      <c r="T343" t="s">
        <v>46</v>
      </c>
      <c r="U343">
        <v>4.5302262000000003E-2</v>
      </c>
      <c r="V343" t="s">
        <v>56</v>
      </c>
      <c r="W343" t="s">
        <v>48</v>
      </c>
      <c r="X343">
        <v>275.5243711</v>
      </c>
    </row>
    <row r="344" spans="1:24" x14ac:dyDescent="0.3">
      <c r="A344" t="s">
        <v>33</v>
      </c>
      <c r="B344" t="s">
        <v>96</v>
      </c>
      <c r="C344">
        <v>46.529167610000002</v>
      </c>
      <c r="D344">
        <v>98</v>
      </c>
      <c r="E344">
        <v>155</v>
      </c>
      <c r="F344">
        <v>1839.609426</v>
      </c>
      <c r="G344" t="s">
        <v>35</v>
      </c>
      <c r="H344">
        <v>22</v>
      </c>
      <c r="I344">
        <v>27</v>
      </c>
      <c r="J344">
        <v>57</v>
      </c>
      <c r="K344">
        <v>4</v>
      </c>
      <c r="L344" t="s">
        <v>43</v>
      </c>
      <c r="M344">
        <v>7.5262483270000002</v>
      </c>
      <c r="N344" t="s">
        <v>44</v>
      </c>
      <c r="O344" t="s">
        <v>53</v>
      </c>
      <c r="P344">
        <v>26</v>
      </c>
      <c r="Q344">
        <v>179</v>
      </c>
      <c r="R344">
        <v>7</v>
      </c>
      <c r="S344">
        <v>96.422820639999998</v>
      </c>
      <c r="T344" t="s">
        <v>46</v>
      </c>
      <c r="U344">
        <v>4.9392552890000001</v>
      </c>
      <c r="V344" t="s">
        <v>31</v>
      </c>
      <c r="W344" t="s">
        <v>48</v>
      </c>
      <c r="X344">
        <v>635.65712050000002</v>
      </c>
    </row>
    <row r="345" spans="1:24" x14ac:dyDescent="0.3">
      <c r="A345" t="s">
        <v>24</v>
      </c>
      <c r="B345" t="s">
        <v>97</v>
      </c>
      <c r="C345">
        <v>11.743271780000001</v>
      </c>
      <c r="D345">
        <v>6</v>
      </c>
      <c r="E345">
        <v>598</v>
      </c>
      <c r="F345">
        <v>5737.4255990000001</v>
      </c>
      <c r="G345" t="s">
        <v>38</v>
      </c>
      <c r="H345">
        <v>36</v>
      </c>
      <c r="I345">
        <v>29</v>
      </c>
      <c r="J345">
        <v>85</v>
      </c>
      <c r="K345">
        <v>9</v>
      </c>
      <c r="L345" t="s">
        <v>27</v>
      </c>
      <c r="M345">
        <v>3.6940212680000002</v>
      </c>
      <c r="N345" t="s">
        <v>44</v>
      </c>
      <c r="O345" t="s">
        <v>29</v>
      </c>
      <c r="P345">
        <v>1</v>
      </c>
      <c r="Q345">
        <v>206</v>
      </c>
      <c r="R345">
        <v>23</v>
      </c>
      <c r="S345">
        <v>26.277365960000001</v>
      </c>
      <c r="T345" t="s">
        <v>30</v>
      </c>
      <c r="U345">
        <v>0.37230476800000001</v>
      </c>
      <c r="V345" t="s">
        <v>40</v>
      </c>
      <c r="W345" t="s">
        <v>48</v>
      </c>
      <c r="X345">
        <v>716.04411979999998</v>
      </c>
    </row>
    <row r="346" spans="1:24" x14ac:dyDescent="0.3">
      <c r="A346" t="s">
        <v>57</v>
      </c>
      <c r="B346" t="s">
        <v>98</v>
      </c>
      <c r="C346">
        <v>51.355790910000003</v>
      </c>
      <c r="D346">
        <v>34</v>
      </c>
      <c r="E346">
        <v>919</v>
      </c>
      <c r="F346">
        <v>7152.2860490000003</v>
      </c>
      <c r="G346" t="s">
        <v>35</v>
      </c>
      <c r="H346">
        <v>13</v>
      </c>
      <c r="I346">
        <v>19</v>
      </c>
      <c r="J346">
        <v>72</v>
      </c>
      <c r="K346">
        <v>6</v>
      </c>
      <c r="L346" t="s">
        <v>43</v>
      </c>
      <c r="M346">
        <v>7.5774496569999998</v>
      </c>
      <c r="N346" t="s">
        <v>61</v>
      </c>
      <c r="O346" t="s">
        <v>50</v>
      </c>
      <c r="P346">
        <v>7</v>
      </c>
      <c r="Q346">
        <v>834</v>
      </c>
      <c r="R346">
        <v>18</v>
      </c>
      <c r="S346">
        <v>22.554106619999999</v>
      </c>
      <c r="T346" t="s">
        <v>46</v>
      </c>
      <c r="U346">
        <v>2.96262632</v>
      </c>
      <c r="V346" t="s">
        <v>47</v>
      </c>
      <c r="W346" t="s">
        <v>48</v>
      </c>
      <c r="X346">
        <v>610.4532696</v>
      </c>
    </row>
    <row r="347" spans="1:24" x14ac:dyDescent="0.3">
      <c r="A347" t="s">
        <v>24</v>
      </c>
      <c r="B347" t="s">
        <v>99</v>
      </c>
      <c r="C347">
        <v>33.784138030000001</v>
      </c>
      <c r="D347">
        <v>1</v>
      </c>
      <c r="E347">
        <v>24</v>
      </c>
      <c r="F347">
        <v>5267.9568079999999</v>
      </c>
      <c r="G347" t="s">
        <v>55</v>
      </c>
      <c r="H347">
        <v>93</v>
      </c>
      <c r="I347">
        <v>7</v>
      </c>
      <c r="J347">
        <v>52</v>
      </c>
      <c r="K347">
        <v>6</v>
      </c>
      <c r="L347" t="s">
        <v>27</v>
      </c>
      <c r="M347">
        <v>5.2151550090000001</v>
      </c>
      <c r="N347" t="s">
        <v>61</v>
      </c>
      <c r="O347" t="s">
        <v>62</v>
      </c>
      <c r="P347">
        <v>25</v>
      </c>
      <c r="Q347">
        <v>794</v>
      </c>
      <c r="R347">
        <v>25</v>
      </c>
      <c r="S347">
        <v>66.312544439999996</v>
      </c>
      <c r="T347" t="s">
        <v>64</v>
      </c>
      <c r="U347">
        <v>3.2196046119999999</v>
      </c>
      <c r="V347" t="s">
        <v>47</v>
      </c>
      <c r="W347" t="s">
        <v>48</v>
      </c>
      <c r="X347">
        <v>495.30569700000001</v>
      </c>
    </row>
    <row r="348" spans="1:24" x14ac:dyDescent="0.3">
      <c r="A348" t="s">
        <v>24</v>
      </c>
      <c r="B348" t="s">
        <v>100</v>
      </c>
      <c r="C348">
        <v>27.082207199999999</v>
      </c>
      <c r="D348">
        <v>75</v>
      </c>
      <c r="E348">
        <v>859</v>
      </c>
      <c r="F348">
        <v>2556.7673610000002</v>
      </c>
      <c r="G348" t="s">
        <v>26</v>
      </c>
      <c r="H348">
        <v>92</v>
      </c>
      <c r="I348">
        <v>29</v>
      </c>
      <c r="J348">
        <v>6</v>
      </c>
      <c r="K348">
        <v>8</v>
      </c>
      <c r="L348" t="s">
        <v>27</v>
      </c>
      <c r="M348">
        <v>4.0709558369999996</v>
      </c>
      <c r="N348" t="s">
        <v>28</v>
      </c>
      <c r="O348" t="s">
        <v>62</v>
      </c>
      <c r="P348">
        <v>18</v>
      </c>
      <c r="Q348">
        <v>870</v>
      </c>
      <c r="R348">
        <v>23</v>
      </c>
      <c r="S348">
        <v>77.322353210000003</v>
      </c>
      <c r="T348" t="s">
        <v>30</v>
      </c>
      <c r="U348">
        <v>3.6486105929999999</v>
      </c>
      <c r="V348" t="s">
        <v>31</v>
      </c>
      <c r="W348" t="s">
        <v>32</v>
      </c>
      <c r="X348">
        <v>380.43593709999999</v>
      </c>
    </row>
    <row r="349" spans="1:24" x14ac:dyDescent="0.3">
      <c r="A349" t="s">
        <v>33</v>
      </c>
      <c r="B349" t="s">
        <v>101</v>
      </c>
      <c r="C349">
        <v>95.712135880000005</v>
      </c>
      <c r="D349">
        <v>93</v>
      </c>
      <c r="E349">
        <v>910</v>
      </c>
      <c r="F349">
        <v>7089.4742500000002</v>
      </c>
      <c r="G349" t="s">
        <v>55</v>
      </c>
      <c r="H349">
        <v>4</v>
      </c>
      <c r="I349">
        <v>15</v>
      </c>
      <c r="J349">
        <v>51</v>
      </c>
      <c r="K349">
        <v>9</v>
      </c>
      <c r="L349" t="s">
        <v>27</v>
      </c>
      <c r="M349">
        <v>8.9787507560000002</v>
      </c>
      <c r="N349" t="s">
        <v>39</v>
      </c>
      <c r="O349" t="s">
        <v>45</v>
      </c>
      <c r="P349">
        <v>10</v>
      </c>
      <c r="Q349">
        <v>964</v>
      </c>
      <c r="R349">
        <v>20</v>
      </c>
      <c r="S349">
        <v>19.712992910000001</v>
      </c>
      <c r="T349" t="s">
        <v>30</v>
      </c>
      <c r="U349">
        <v>0.38057358699999999</v>
      </c>
      <c r="V349" t="s">
        <v>47</v>
      </c>
      <c r="W349" t="s">
        <v>48</v>
      </c>
      <c r="X349">
        <v>581.60235509999995</v>
      </c>
    </row>
    <row r="350" spans="1:24" x14ac:dyDescent="0.3">
      <c r="A350" t="s">
        <v>24</v>
      </c>
      <c r="B350" t="s">
        <v>102</v>
      </c>
      <c r="C350">
        <v>76.035544430000002</v>
      </c>
      <c r="D350">
        <v>28</v>
      </c>
      <c r="E350">
        <v>29</v>
      </c>
      <c r="F350">
        <v>7397.0710049999998</v>
      </c>
      <c r="G350" t="s">
        <v>26</v>
      </c>
      <c r="H350">
        <v>30</v>
      </c>
      <c r="I350">
        <v>16</v>
      </c>
      <c r="J350">
        <v>9</v>
      </c>
      <c r="K350">
        <v>3</v>
      </c>
      <c r="L350" t="s">
        <v>43</v>
      </c>
      <c r="M350">
        <v>7.0958331570000004</v>
      </c>
      <c r="N350" t="s">
        <v>61</v>
      </c>
      <c r="O350" t="s">
        <v>29</v>
      </c>
      <c r="P350">
        <v>9</v>
      </c>
      <c r="Q350">
        <v>109</v>
      </c>
      <c r="R350">
        <v>18</v>
      </c>
      <c r="S350">
        <v>23.12636358</v>
      </c>
      <c r="T350" t="s">
        <v>46</v>
      </c>
      <c r="U350">
        <v>1.698112541</v>
      </c>
      <c r="V350" t="s">
        <v>47</v>
      </c>
      <c r="W350" t="s">
        <v>32</v>
      </c>
      <c r="X350">
        <v>768.65191400000003</v>
      </c>
    </row>
    <row r="351" spans="1:24" x14ac:dyDescent="0.3">
      <c r="A351" t="s">
        <v>57</v>
      </c>
      <c r="B351" t="s">
        <v>103</v>
      </c>
      <c r="C351">
        <v>78.897913209999999</v>
      </c>
      <c r="D351">
        <v>19</v>
      </c>
      <c r="E351">
        <v>99</v>
      </c>
      <c r="F351">
        <v>8001.6132070000003</v>
      </c>
      <c r="G351" t="s">
        <v>38</v>
      </c>
      <c r="H351">
        <v>97</v>
      </c>
      <c r="I351">
        <v>24</v>
      </c>
      <c r="J351">
        <v>9</v>
      </c>
      <c r="K351">
        <v>6</v>
      </c>
      <c r="L351" t="s">
        <v>43</v>
      </c>
      <c r="M351">
        <v>2.5056210330000002</v>
      </c>
      <c r="N351" t="s">
        <v>44</v>
      </c>
      <c r="O351" t="s">
        <v>50</v>
      </c>
      <c r="P351">
        <v>28</v>
      </c>
      <c r="Q351">
        <v>177</v>
      </c>
      <c r="R351">
        <v>28</v>
      </c>
      <c r="S351">
        <v>14.14781544</v>
      </c>
      <c r="T351" t="s">
        <v>64</v>
      </c>
      <c r="U351">
        <v>2.8258139849999999</v>
      </c>
      <c r="V351" t="s">
        <v>47</v>
      </c>
      <c r="W351" t="s">
        <v>48</v>
      </c>
      <c r="X351">
        <v>336.89016850000002</v>
      </c>
    </row>
    <row r="352" spans="1:24" x14ac:dyDescent="0.3">
      <c r="A352" t="s">
        <v>57</v>
      </c>
      <c r="B352" t="s">
        <v>104</v>
      </c>
      <c r="C352">
        <v>14.20348426</v>
      </c>
      <c r="D352">
        <v>91</v>
      </c>
      <c r="E352">
        <v>633</v>
      </c>
      <c r="F352">
        <v>5910.8853900000004</v>
      </c>
      <c r="G352" t="s">
        <v>35</v>
      </c>
      <c r="H352">
        <v>31</v>
      </c>
      <c r="I352">
        <v>23</v>
      </c>
      <c r="J352">
        <v>82</v>
      </c>
      <c r="K352">
        <v>10</v>
      </c>
      <c r="L352" t="s">
        <v>36</v>
      </c>
      <c r="M352">
        <v>6.2478609150000004</v>
      </c>
      <c r="N352" t="s">
        <v>61</v>
      </c>
      <c r="O352" t="s">
        <v>50</v>
      </c>
      <c r="P352">
        <v>20</v>
      </c>
      <c r="Q352">
        <v>306</v>
      </c>
      <c r="R352">
        <v>21</v>
      </c>
      <c r="S352">
        <v>45.178757920000002</v>
      </c>
      <c r="T352" t="s">
        <v>46</v>
      </c>
      <c r="U352">
        <v>4.7548008050000004</v>
      </c>
      <c r="V352" t="s">
        <v>47</v>
      </c>
      <c r="W352" t="s">
        <v>32</v>
      </c>
      <c r="X352">
        <v>496.24865030000001</v>
      </c>
    </row>
    <row r="353" spans="1:24" x14ac:dyDescent="0.3">
      <c r="A353" t="s">
        <v>24</v>
      </c>
      <c r="B353" t="s">
        <v>105</v>
      </c>
      <c r="C353">
        <v>26.700760970000001</v>
      </c>
      <c r="D353">
        <v>61</v>
      </c>
      <c r="E353">
        <v>154</v>
      </c>
      <c r="F353">
        <v>9866.4654580000006</v>
      </c>
      <c r="G353" t="s">
        <v>55</v>
      </c>
      <c r="H353">
        <v>100</v>
      </c>
      <c r="I353">
        <v>4</v>
      </c>
      <c r="J353">
        <v>52</v>
      </c>
      <c r="K353">
        <v>1</v>
      </c>
      <c r="L353" t="s">
        <v>36</v>
      </c>
      <c r="M353">
        <v>4.7830005580000003</v>
      </c>
      <c r="N353" t="s">
        <v>44</v>
      </c>
      <c r="O353" t="s">
        <v>53</v>
      </c>
      <c r="P353">
        <v>18</v>
      </c>
      <c r="Q353">
        <v>673</v>
      </c>
      <c r="R353">
        <v>28</v>
      </c>
      <c r="S353">
        <v>14.190328340000001</v>
      </c>
      <c r="T353" t="s">
        <v>30</v>
      </c>
      <c r="U353">
        <v>1.772951172</v>
      </c>
      <c r="V353" t="s">
        <v>31</v>
      </c>
      <c r="W353" t="s">
        <v>48</v>
      </c>
      <c r="X353">
        <v>694.98231759999999</v>
      </c>
    </row>
    <row r="354" spans="1:24" x14ac:dyDescent="0.3">
      <c r="A354" t="s">
        <v>33</v>
      </c>
      <c r="B354" t="s">
        <v>106</v>
      </c>
      <c r="C354">
        <v>98.03182966</v>
      </c>
      <c r="D354">
        <v>1</v>
      </c>
      <c r="E354">
        <v>820</v>
      </c>
      <c r="F354">
        <v>9435.7626089999994</v>
      </c>
      <c r="G354" t="s">
        <v>55</v>
      </c>
      <c r="H354">
        <v>64</v>
      </c>
      <c r="I354">
        <v>11</v>
      </c>
      <c r="J354">
        <v>11</v>
      </c>
      <c r="K354">
        <v>1</v>
      </c>
      <c r="L354" t="s">
        <v>27</v>
      </c>
      <c r="M354">
        <v>8.6310521799999993</v>
      </c>
      <c r="N354" t="s">
        <v>39</v>
      </c>
      <c r="O354" t="s">
        <v>29</v>
      </c>
      <c r="P354">
        <v>10</v>
      </c>
      <c r="Q354">
        <v>727</v>
      </c>
      <c r="R354">
        <v>27</v>
      </c>
      <c r="S354">
        <v>9.1668491490000008</v>
      </c>
      <c r="T354" t="s">
        <v>30</v>
      </c>
      <c r="U354">
        <v>2.1224716190000001</v>
      </c>
      <c r="V354" t="s">
        <v>40</v>
      </c>
      <c r="W354" t="s">
        <v>41</v>
      </c>
      <c r="X354">
        <v>602.89849879999997</v>
      </c>
    </row>
    <row r="355" spans="1:24" x14ac:dyDescent="0.3">
      <c r="A355" t="s">
        <v>33</v>
      </c>
      <c r="B355" t="s">
        <v>107</v>
      </c>
      <c r="C355">
        <v>30.341470709999999</v>
      </c>
      <c r="D355">
        <v>93</v>
      </c>
      <c r="E355">
        <v>242</v>
      </c>
      <c r="F355">
        <v>8232.3348289999994</v>
      </c>
      <c r="G355" t="s">
        <v>55</v>
      </c>
      <c r="H355">
        <v>96</v>
      </c>
      <c r="I355">
        <v>25</v>
      </c>
      <c r="J355">
        <v>54</v>
      </c>
      <c r="K355">
        <v>3</v>
      </c>
      <c r="L355" t="s">
        <v>27</v>
      </c>
      <c r="M355">
        <v>1.0134865660000001</v>
      </c>
      <c r="N355" t="s">
        <v>39</v>
      </c>
      <c r="O355" t="s">
        <v>50</v>
      </c>
      <c r="P355">
        <v>1</v>
      </c>
      <c r="Q355">
        <v>631</v>
      </c>
      <c r="R355">
        <v>17</v>
      </c>
      <c r="S355">
        <v>83.344058989999994</v>
      </c>
      <c r="T355" t="s">
        <v>30</v>
      </c>
      <c r="U355">
        <v>1.4103475759999999</v>
      </c>
      <c r="V355" t="s">
        <v>40</v>
      </c>
      <c r="W355" t="s">
        <v>32</v>
      </c>
      <c r="X355">
        <v>750.73784069999999</v>
      </c>
    </row>
    <row r="356" spans="1:24" x14ac:dyDescent="0.3">
      <c r="A356" t="s">
        <v>24</v>
      </c>
      <c r="B356" t="s">
        <v>108</v>
      </c>
      <c r="C356">
        <v>31.146243160000001</v>
      </c>
      <c r="D356">
        <v>11</v>
      </c>
      <c r="E356">
        <v>622</v>
      </c>
      <c r="F356">
        <v>6088.0214800000003</v>
      </c>
      <c r="G356" t="s">
        <v>26</v>
      </c>
      <c r="H356">
        <v>33</v>
      </c>
      <c r="I356">
        <v>22</v>
      </c>
      <c r="J356">
        <v>61</v>
      </c>
      <c r="K356">
        <v>3</v>
      </c>
      <c r="L356" t="s">
        <v>27</v>
      </c>
      <c r="M356">
        <v>4.3051034709999998</v>
      </c>
      <c r="N356" t="s">
        <v>39</v>
      </c>
      <c r="O356" t="s">
        <v>45</v>
      </c>
      <c r="P356">
        <v>26</v>
      </c>
      <c r="Q356">
        <v>497</v>
      </c>
      <c r="R356">
        <v>29</v>
      </c>
      <c r="S356">
        <v>30.186023380000002</v>
      </c>
      <c r="T356" t="s">
        <v>64</v>
      </c>
      <c r="U356">
        <v>2.478771976</v>
      </c>
      <c r="V356" t="s">
        <v>31</v>
      </c>
      <c r="W356" t="s">
        <v>32</v>
      </c>
      <c r="X356">
        <v>814.06999659999997</v>
      </c>
    </row>
    <row r="357" spans="1:24" x14ac:dyDescent="0.3">
      <c r="A357" t="s">
        <v>24</v>
      </c>
      <c r="B357" t="s">
        <v>109</v>
      </c>
      <c r="C357">
        <v>79.855058339999999</v>
      </c>
      <c r="D357">
        <v>16</v>
      </c>
      <c r="E357">
        <v>701</v>
      </c>
      <c r="F357">
        <v>2925.67517</v>
      </c>
      <c r="G357" t="s">
        <v>55</v>
      </c>
      <c r="H357">
        <v>97</v>
      </c>
      <c r="I357">
        <v>11</v>
      </c>
      <c r="J357">
        <v>11</v>
      </c>
      <c r="K357">
        <v>5</v>
      </c>
      <c r="L357" t="s">
        <v>36</v>
      </c>
      <c r="M357">
        <v>5.0143649549999996</v>
      </c>
      <c r="N357" t="s">
        <v>61</v>
      </c>
      <c r="O357" t="s">
        <v>50</v>
      </c>
      <c r="P357">
        <v>27</v>
      </c>
      <c r="Q357">
        <v>918</v>
      </c>
      <c r="R357">
        <v>5</v>
      </c>
      <c r="S357">
        <v>30.32354526</v>
      </c>
      <c r="T357" t="s">
        <v>46</v>
      </c>
      <c r="U357">
        <v>4.5489196590000001</v>
      </c>
      <c r="V357" t="s">
        <v>56</v>
      </c>
      <c r="W357" t="s">
        <v>32</v>
      </c>
      <c r="X357">
        <v>323.01292799999999</v>
      </c>
    </row>
    <row r="358" spans="1:24" x14ac:dyDescent="0.3">
      <c r="A358" t="s">
        <v>33</v>
      </c>
      <c r="B358" t="s">
        <v>110</v>
      </c>
      <c r="C358">
        <v>20.986386039999999</v>
      </c>
      <c r="D358">
        <v>90</v>
      </c>
      <c r="E358">
        <v>93</v>
      </c>
      <c r="F358">
        <v>4767.0204839999997</v>
      </c>
      <c r="G358" t="s">
        <v>26</v>
      </c>
      <c r="H358">
        <v>25</v>
      </c>
      <c r="I358">
        <v>23</v>
      </c>
      <c r="J358">
        <v>83</v>
      </c>
      <c r="K358">
        <v>5</v>
      </c>
      <c r="L358" t="s">
        <v>43</v>
      </c>
      <c r="M358">
        <v>1.774429714</v>
      </c>
      <c r="N358" t="s">
        <v>39</v>
      </c>
      <c r="O358" t="s">
        <v>29</v>
      </c>
      <c r="P358">
        <v>24</v>
      </c>
      <c r="Q358">
        <v>826</v>
      </c>
      <c r="R358">
        <v>28</v>
      </c>
      <c r="S358">
        <v>12.83628457</v>
      </c>
      <c r="T358" t="s">
        <v>64</v>
      </c>
      <c r="U358">
        <v>1.173755495</v>
      </c>
      <c r="V358" t="s">
        <v>40</v>
      </c>
      <c r="W358" t="s">
        <v>32</v>
      </c>
      <c r="X358">
        <v>832.21080870000003</v>
      </c>
    </row>
    <row r="359" spans="1:24" x14ac:dyDescent="0.3">
      <c r="A359" t="s">
        <v>24</v>
      </c>
      <c r="B359" t="s">
        <v>111</v>
      </c>
      <c r="C359">
        <v>49.26320535</v>
      </c>
      <c r="D359">
        <v>65</v>
      </c>
      <c r="E359">
        <v>227</v>
      </c>
      <c r="F359">
        <v>1605.8669</v>
      </c>
      <c r="G359" t="s">
        <v>38</v>
      </c>
      <c r="H359">
        <v>5</v>
      </c>
      <c r="I359">
        <v>18</v>
      </c>
      <c r="J359">
        <v>51</v>
      </c>
      <c r="K359">
        <v>1</v>
      </c>
      <c r="L359" t="s">
        <v>27</v>
      </c>
      <c r="M359">
        <v>9.1605585349999998</v>
      </c>
      <c r="N359" t="s">
        <v>61</v>
      </c>
      <c r="O359" t="s">
        <v>50</v>
      </c>
      <c r="P359">
        <v>21</v>
      </c>
      <c r="Q359">
        <v>588</v>
      </c>
      <c r="R359">
        <v>25</v>
      </c>
      <c r="S359">
        <v>67.779622989999993</v>
      </c>
      <c r="T359" t="s">
        <v>30</v>
      </c>
      <c r="U359">
        <v>2.5111748299999999</v>
      </c>
      <c r="V359" t="s">
        <v>47</v>
      </c>
      <c r="W359" t="s">
        <v>48</v>
      </c>
      <c r="X359">
        <v>482.19123860000002</v>
      </c>
    </row>
    <row r="360" spans="1:24" x14ac:dyDescent="0.3">
      <c r="A360" t="s">
        <v>33</v>
      </c>
      <c r="B360" t="s">
        <v>112</v>
      </c>
      <c r="C360">
        <v>59.841561380000002</v>
      </c>
      <c r="D360">
        <v>81</v>
      </c>
      <c r="E360">
        <v>896</v>
      </c>
      <c r="F360">
        <v>2021.1498099999999</v>
      </c>
      <c r="G360" t="s">
        <v>26</v>
      </c>
      <c r="H360">
        <v>10</v>
      </c>
      <c r="I360">
        <v>5</v>
      </c>
      <c r="J360">
        <v>44</v>
      </c>
      <c r="K360">
        <v>7</v>
      </c>
      <c r="L360" t="s">
        <v>36</v>
      </c>
      <c r="M360">
        <v>4.9384385650000002</v>
      </c>
      <c r="N360" t="s">
        <v>28</v>
      </c>
      <c r="O360" t="s">
        <v>50</v>
      </c>
      <c r="P360">
        <v>18</v>
      </c>
      <c r="Q360">
        <v>396</v>
      </c>
      <c r="R360">
        <v>7</v>
      </c>
      <c r="S360">
        <v>65.047415090000001</v>
      </c>
      <c r="T360" t="s">
        <v>46</v>
      </c>
      <c r="U360">
        <v>1.7303747199999999</v>
      </c>
      <c r="V360" t="s">
        <v>31</v>
      </c>
      <c r="W360" t="s">
        <v>32</v>
      </c>
      <c r="X360">
        <v>110.3643352</v>
      </c>
    </row>
    <row r="361" spans="1:24" x14ac:dyDescent="0.3">
      <c r="A361" t="s">
        <v>57</v>
      </c>
      <c r="B361" t="s">
        <v>113</v>
      </c>
      <c r="C361">
        <v>63.828398350000001</v>
      </c>
      <c r="D361">
        <v>30</v>
      </c>
      <c r="E361">
        <v>484</v>
      </c>
      <c r="F361">
        <v>1061.6185230000001</v>
      </c>
      <c r="G361" t="s">
        <v>26</v>
      </c>
      <c r="H361">
        <v>100</v>
      </c>
      <c r="I361">
        <v>16</v>
      </c>
      <c r="J361">
        <v>26</v>
      </c>
      <c r="K361">
        <v>7</v>
      </c>
      <c r="L361" t="s">
        <v>27</v>
      </c>
      <c r="M361">
        <v>7.2937225970000004</v>
      </c>
      <c r="N361" t="s">
        <v>39</v>
      </c>
      <c r="O361" t="s">
        <v>45</v>
      </c>
      <c r="P361">
        <v>11</v>
      </c>
      <c r="Q361">
        <v>176</v>
      </c>
      <c r="R361">
        <v>4</v>
      </c>
      <c r="S361">
        <v>1.900762244</v>
      </c>
      <c r="T361" t="s">
        <v>46</v>
      </c>
      <c r="U361">
        <v>0.447194015</v>
      </c>
      <c r="V361" t="s">
        <v>40</v>
      </c>
      <c r="W361" t="s">
        <v>48</v>
      </c>
      <c r="X361">
        <v>312.57427360000003</v>
      </c>
    </row>
    <row r="362" spans="1:24" x14ac:dyDescent="0.3">
      <c r="A362" t="s">
        <v>33</v>
      </c>
      <c r="B362" t="s">
        <v>114</v>
      </c>
      <c r="C362">
        <v>17.02802792</v>
      </c>
      <c r="D362">
        <v>16</v>
      </c>
      <c r="E362">
        <v>380</v>
      </c>
      <c r="F362">
        <v>8864.0843499999992</v>
      </c>
      <c r="G362" t="s">
        <v>35</v>
      </c>
      <c r="H362">
        <v>41</v>
      </c>
      <c r="I362">
        <v>27</v>
      </c>
      <c r="J362">
        <v>72</v>
      </c>
      <c r="K362">
        <v>8</v>
      </c>
      <c r="L362" t="s">
        <v>43</v>
      </c>
      <c r="M362">
        <v>4.3813681579999999</v>
      </c>
      <c r="N362" t="s">
        <v>52</v>
      </c>
      <c r="O362" t="s">
        <v>29</v>
      </c>
      <c r="P362">
        <v>29</v>
      </c>
      <c r="Q362">
        <v>929</v>
      </c>
      <c r="R362">
        <v>24</v>
      </c>
      <c r="S362">
        <v>87.213057820000003</v>
      </c>
      <c r="T362" t="s">
        <v>46</v>
      </c>
      <c r="U362">
        <v>2.8530906169999999</v>
      </c>
      <c r="V362" t="s">
        <v>47</v>
      </c>
      <c r="W362" t="s">
        <v>48</v>
      </c>
      <c r="X362">
        <v>430.16909700000002</v>
      </c>
    </row>
    <row r="363" spans="1:24" x14ac:dyDescent="0.3">
      <c r="A363" t="s">
        <v>24</v>
      </c>
      <c r="B363" t="s">
        <v>115</v>
      </c>
      <c r="C363">
        <v>52.028749900000001</v>
      </c>
      <c r="D363">
        <v>23</v>
      </c>
      <c r="E363">
        <v>117</v>
      </c>
      <c r="F363">
        <v>6885.5893509999996</v>
      </c>
      <c r="G363" t="s">
        <v>38</v>
      </c>
      <c r="H363">
        <v>32</v>
      </c>
      <c r="I363">
        <v>23</v>
      </c>
      <c r="J363">
        <v>36</v>
      </c>
      <c r="K363">
        <v>7</v>
      </c>
      <c r="L363" t="s">
        <v>43</v>
      </c>
      <c r="M363">
        <v>9.0303404230000002</v>
      </c>
      <c r="N363" t="s">
        <v>52</v>
      </c>
      <c r="O363" t="s">
        <v>45</v>
      </c>
      <c r="P363">
        <v>14</v>
      </c>
      <c r="Q363">
        <v>480</v>
      </c>
      <c r="R363">
        <v>12</v>
      </c>
      <c r="S363">
        <v>78.702393970000003</v>
      </c>
      <c r="T363" t="s">
        <v>46</v>
      </c>
      <c r="U363">
        <v>4.3674705380000001</v>
      </c>
      <c r="V363" t="s">
        <v>40</v>
      </c>
      <c r="W363" t="s">
        <v>48</v>
      </c>
      <c r="X363">
        <v>164.3665282</v>
      </c>
    </row>
    <row r="364" spans="1:24" x14ac:dyDescent="0.3">
      <c r="A364" t="s">
        <v>57</v>
      </c>
      <c r="B364" t="s">
        <v>116</v>
      </c>
      <c r="C364">
        <v>72.796353960000005</v>
      </c>
      <c r="D364">
        <v>89</v>
      </c>
      <c r="E364">
        <v>270</v>
      </c>
      <c r="F364">
        <v>3899.746834</v>
      </c>
      <c r="G364" t="s">
        <v>38</v>
      </c>
      <c r="H364">
        <v>86</v>
      </c>
      <c r="I364">
        <v>2</v>
      </c>
      <c r="J364">
        <v>40</v>
      </c>
      <c r="K364">
        <v>7</v>
      </c>
      <c r="L364" t="s">
        <v>43</v>
      </c>
      <c r="M364">
        <v>7.291701389</v>
      </c>
      <c r="N364" t="s">
        <v>61</v>
      </c>
      <c r="O364" t="s">
        <v>29</v>
      </c>
      <c r="P364">
        <v>13</v>
      </c>
      <c r="Q364">
        <v>751</v>
      </c>
      <c r="R364">
        <v>14</v>
      </c>
      <c r="S364">
        <v>21.048642730000001</v>
      </c>
      <c r="T364" t="s">
        <v>64</v>
      </c>
      <c r="U364">
        <v>1.8740014039999999</v>
      </c>
      <c r="V364" t="s">
        <v>56</v>
      </c>
      <c r="W364" t="s">
        <v>41</v>
      </c>
      <c r="X364">
        <v>320.84651580000002</v>
      </c>
    </row>
    <row r="365" spans="1:24" x14ac:dyDescent="0.3">
      <c r="A365" t="s">
        <v>33</v>
      </c>
      <c r="B365" t="s">
        <v>117</v>
      </c>
      <c r="C365">
        <v>13.01737679</v>
      </c>
      <c r="D365">
        <v>55</v>
      </c>
      <c r="E365">
        <v>246</v>
      </c>
      <c r="F365">
        <v>4256.9491410000001</v>
      </c>
      <c r="G365" t="s">
        <v>26</v>
      </c>
      <c r="H365">
        <v>54</v>
      </c>
      <c r="I365">
        <v>19</v>
      </c>
      <c r="J365">
        <v>10</v>
      </c>
      <c r="K365">
        <v>4</v>
      </c>
      <c r="L365" t="s">
        <v>36</v>
      </c>
      <c r="M365">
        <v>2.4579335279999999</v>
      </c>
      <c r="N365" t="s">
        <v>28</v>
      </c>
      <c r="O365" t="s">
        <v>53</v>
      </c>
      <c r="P365">
        <v>18</v>
      </c>
      <c r="Q365">
        <v>736</v>
      </c>
      <c r="R365">
        <v>10</v>
      </c>
      <c r="S365">
        <v>20.075003980000002</v>
      </c>
      <c r="T365" t="s">
        <v>30</v>
      </c>
      <c r="U365">
        <v>3.6328432899999998</v>
      </c>
      <c r="V365" t="s">
        <v>56</v>
      </c>
      <c r="W365" t="s">
        <v>48</v>
      </c>
      <c r="X365">
        <v>687.28617789999998</v>
      </c>
    </row>
    <row r="366" spans="1:24" x14ac:dyDescent="0.3">
      <c r="A366" t="s">
        <v>33</v>
      </c>
      <c r="B366" t="s">
        <v>118</v>
      </c>
      <c r="C366">
        <v>89.634095610000003</v>
      </c>
      <c r="D366">
        <v>11</v>
      </c>
      <c r="E366">
        <v>134</v>
      </c>
      <c r="F366">
        <v>8458.7308780000003</v>
      </c>
      <c r="G366" t="s">
        <v>35</v>
      </c>
      <c r="H366">
        <v>73</v>
      </c>
      <c r="I366">
        <v>27</v>
      </c>
      <c r="J366">
        <v>75</v>
      </c>
      <c r="K366">
        <v>6</v>
      </c>
      <c r="L366" t="s">
        <v>43</v>
      </c>
      <c r="M366">
        <v>4.5853534680000001</v>
      </c>
      <c r="N366" t="s">
        <v>39</v>
      </c>
      <c r="O366" t="s">
        <v>50</v>
      </c>
      <c r="P366">
        <v>17</v>
      </c>
      <c r="Q366">
        <v>328</v>
      </c>
      <c r="R366">
        <v>6</v>
      </c>
      <c r="S366">
        <v>8.6930424259999999</v>
      </c>
      <c r="T366" t="s">
        <v>46</v>
      </c>
      <c r="U366">
        <v>0.15948631499999999</v>
      </c>
      <c r="V366" t="s">
        <v>40</v>
      </c>
      <c r="W366" t="s">
        <v>41</v>
      </c>
      <c r="X366">
        <v>771.22508470000002</v>
      </c>
    </row>
    <row r="367" spans="1:24" x14ac:dyDescent="0.3">
      <c r="A367" t="s">
        <v>33</v>
      </c>
      <c r="B367" t="s">
        <v>119</v>
      </c>
      <c r="C367">
        <v>33.69771721</v>
      </c>
      <c r="D367">
        <v>72</v>
      </c>
      <c r="E367">
        <v>457</v>
      </c>
      <c r="F367">
        <v>8354.5796859999991</v>
      </c>
      <c r="G367" t="s">
        <v>55</v>
      </c>
      <c r="H367">
        <v>57</v>
      </c>
      <c r="I367">
        <v>24</v>
      </c>
      <c r="J367">
        <v>54</v>
      </c>
      <c r="K367">
        <v>8</v>
      </c>
      <c r="L367" t="s">
        <v>43</v>
      </c>
      <c r="M367">
        <v>6.5805413479999997</v>
      </c>
      <c r="N367" t="s">
        <v>44</v>
      </c>
      <c r="O367" t="s">
        <v>45</v>
      </c>
      <c r="P367">
        <v>16</v>
      </c>
      <c r="Q367">
        <v>358</v>
      </c>
      <c r="R367">
        <v>21</v>
      </c>
      <c r="S367">
        <v>1.5972227429999999</v>
      </c>
      <c r="T367" t="s">
        <v>46</v>
      </c>
      <c r="U367">
        <v>4.9110959550000004</v>
      </c>
      <c r="V367" t="s">
        <v>47</v>
      </c>
      <c r="W367" t="s">
        <v>41</v>
      </c>
      <c r="X367">
        <v>555.85910369999999</v>
      </c>
    </row>
    <row r="368" spans="1:24" x14ac:dyDescent="0.3">
      <c r="A368" t="s">
        <v>33</v>
      </c>
      <c r="B368" t="s">
        <v>120</v>
      </c>
      <c r="C368">
        <v>26.03486977</v>
      </c>
      <c r="D368">
        <v>52</v>
      </c>
      <c r="E368">
        <v>704</v>
      </c>
      <c r="F368">
        <v>8367.7216179999996</v>
      </c>
      <c r="G368" t="s">
        <v>35</v>
      </c>
      <c r="H368">
        <v>13</v>
      </c>
      <c r="I368">
        <v>17</v>
      </c>
      <c r="J368">
        <v>19</v>
      </c>
      <c r="K368">
        <v>8</v>
      </c>
      <c r="L368" t="s">
        <v>36</v>
      </c>
      <c r="M368">
        <v>2.216142729</v>
      </c>
      <c r="N368" t="s">
        <v>44</v>
      </c>
      <c r="O368" t="s">
        <v>45</v>
      </c>
      <c r="P368">
        <v>24</v>
      </c>
      <c r="Q368">
        <v>867</v>
      </c>
      <c r="R368">
        <v>28</v>
      </c>
      <c r="S368">
        <v>42.084436740000001</v>
      </c>
      <c r="T368" t="s">
        <v>46</v>
      </c>
      <c r="U368">
        <v>3.4480632880000002</v>
      </c>
      <c r="V368" t="s">
        <v>31</v>
      </c>
      <c r="W368" t="s">
        <v>48</v>
      </c>
      <c r="X368">
        <v>393.84334860000001</v>
      </c>
    </row>
    <row r="369" spans="1:24" x14ac:dyDescent="0.3">
      <c r="A369" t="s">
        <v>33</v>
      </c>
      <c r="B369" t="s">
        <v>121</v>
      </c>
      <c r="C369">
        <v>87.755432350000007</v>
      </c>
      <c r="D369">
        <v>16</v>
      </c>
      <c r="E369">
        <v>513</v>
      </c>
      <c r="F369">
        <v>9473.7980329999991</v>
      </c>
      <c r="G369" t="s">
        <v>38</v>
      </c>
      <c r="H369">
        <v>12</v>
      </c>
      <c r="I369">
        <v>9</v>
      </c>
      <c r="J369">
        <v>71</v>
      </c>
      <c r="K369">
        <v>9</v>
      </c>
      <c r="L369" t="s">
        <v>43</v>
      </c>
      <c r="M369">
        <v>9.1478115449999997</v>
      </c>
      <c r="N369" t="s">
        <v>39</v>
      </c>
      <c r="O369" t="s">
        <v>29</v>
      </c>
      <c r="P369">
        <v>10</v>
      </c>
      <c r="Q369">
        <v>198</v>
      </c>
      <c r="R369">
        <v>11</v>
      </c>
      <c r="S369">
        <v>7.057876147</v>
      </c>
      <c r="T369" t="s">
        <v>64</v>
      </c>
      <c r="U369">
        <v>0.13195544400000001</v>
      </c>
      <c r="V369" t="s">
        <v>56</v>
      </c>
      <c r="W369" t="s">
        <v>41</v>
      </c>
      <c r="X369">
        <v>169.27180139999999</v>
      </c>
    </row>
    <row r="370" spans="1:24" x14ac:dyDescent="0.3">
      <c r="A370" t="s">
        <v>24</v>
      </c>
      <c r="B370" t="s">
        <v>122</v>
      </c>
      <c r="C370">
        <v>37.931812379999997</v>
      </c>
      <c r="D370">
        <v>29</v>
      </c>
      <c r="E370">
        <v>163</v>
      </c>
      <c r="F370">
        <v>3550.218433</v>
      </c>
      <c r="G370" t="s">
        <v>26</v>
      </c>
      <c r="H370">
        <v>0</v>
      </c>
      <c r="I370">
        <v>8</v>
      </c>
      <c r="J370">
        <v>58</v>
      </c>
      <c r="K370">
        <v>8</v>
      </c>
      <c r="L370" t="s">
        <v>27</v>
      </c>
      <c r="M370">
        <v>1.194251865</v>
      </c>
      <c r="N370" t="s">
        <v>61</v>
      </c>
      <c r="O370" t="s">
        <v>53</v>
      </c>
      <c r="P370">
        <v>2</v>
      </c>
      <c r="Q370">
        <v>375</v>
      </c>
      <c r="R370">
        <v>18</v>
      </c>
      <c r="S370">
        <v>97.11358156</v>
      </c>
      <c r="T370" t="s">
        <v>46</v>
      </c>
      <c r="U370">
        <v>1.9834678720000001</v>
      </c>
      <c r="V370" t="s">
        <v>47</v>
      </c>
      <c r="W370" t="s">
        <v>48</v>
      </c>
      <c r="X370">
        <v>299.70630310000001</v>
      </c>
    </row>
    <row r="371" spans="1:24" x14ac:dyDescent="0.3">
      <c r="A371" t="s">
        <v>33</v>
      </c>
      <c r="B371" t="s">
        <v>123</v>
      </c>
      <c r="C371">
        <v>54.865528519999998</v>
      </c>
      <c r="D371">
        <v>62</v>
      </c>
      <c r="E371">
        <v>511</v>
      </c>
      <c r="F371">
        <v>1752.381087</v>
      </c>
      <c r="G371" t="s">
        <v>26</v>
      </c>
      <c r="H371">
        <v>95</v>
      </c>
      <c r="I371">
        <v>1</v>
      </c>
      <c r="J371">
        <v>27</v>
      </c>
      <c r="K371">
        <v>3</v>
      </c>
      <c r="L371" t="s">
        <v>27</v>
      </c>
      <c r="M371">
        <v>9.7052867900000006</v>
      </c>
      <c r="N371" t="s">
        <v>52</v>
      </c>
      <c r="O371" t="s">
        <v>45</v>
      </c>
      <c r="P371">
        <v>9</v>
      </c>
      <c r="Q371">
        <v>862</v>
      </c>
      <c r="R371">
        <v>7</v>
      </c>
      <c r="S371">
        <v>77.62776581</v>
      </c>
      <c r="T371" t="s">
        <v>30</v>
      </c>
      <c r="U371">
        <v>1.3623879889999999</v>
      </c>
      <c r="V371" t="s">
        <v>40</v>
      </c>
      <c r="W371" t="s">
        <v>48</v>
      </c>
      <c r="X371">
        <v>207.66320619999999</v>
      </c>
    </row>
    <row r="372" spans="1:24" x14ac:dyDescent="0.3">
      <c r="A372" t="s">
        <v>24</v>
      </c>
      <c r="B372" t="s">
        <v>124</v>
      </c>
      <c r="C372">
        <v>47.914541819999997</v>
      </c>
      <c r="D372">
        <v>90</v>
      </c>
      <c r="E372">
        <v>32</v>
      </c>
      <c r="F372">
        <v>7014.8879870000001</v>
      </c>
      <c r="G372" t="s">
        <v>35</v>
      </c>
      <c r="H372">
        <v>10</v>
      </c>
      <c r="I372">
        <v>12</v>
      </c>
      <c r="J372">
        <v>22</v>
      </c>
      <c r="K372">
        <v>4</v>
      </c>
      <c r="L372" t="s">
        <v>27</v>
      </c>
      <c r="M372">
        <v>6.3157177549999997</v>
      </c>
      <c r="N372" t="s">
        <v>39</v>
      </c>
      <c r="O372" t="s">
        <v>53</v>
      </c>
      <c r="P372">
        <v>22</v>
      </c>
      <c r="Q372">
        <v>775</v>
      </c>
      <c r="R372">
        <v>16</v>
      </c>
      <c r="S372">
        <v>11.44078182</v>
      </c>
      <c r="T372" t="s">
        <v>64</v>
      </c>
      <c r="U372">
        <v>1.8305755990000001</v>
      </c>
      <c r="V372" t="s">
        <v>31</v>
      </c>
      <c r="W372" t="s">
        <v>41</v>
      </c>
      <c r="X372">
        <v>183.27289870000001</v>
      </c>
    </row>
    <row r="373" spans="1:24" x14ac:dyDescent="0.3">
      <c r="A373" t="s">
        <v>57</v>
      </c>
      <c r="B373" t="s">
        <v>125</v>
      </c>
      <c r="C373">
        <v>6.3815331630000003</v>
      </c>
      <c r="D373">
        <v>14</v>
      </c>
      <c r="E373">
        <v>637</v>
      </c>
      <c r="F373">
        <v>8180.3370850000001</v>
      </c>
      <c r="G373" t="s">
        <v>35</v>
      </c>
      <c r="H373">
        <v>76</v>
      </c>
      <c r="I373">
        <v>2</v>
      </c>
      <c r="J373">
        <v>26</v>
      </c>
      <c r="K373">
        <v>6</v>
      </c>
      <c r="L373" t="s">
        <v>36</v>
      </c>
      <c r="M373">
        <v>9.2281903169999993</v>
      </c>
      <c r="N373" t="s">
        <v>61</v>
      </c>
      <c r="O373" t="s">
        <v>53</v>
      </c>
      <c r="P373">
        <v>2</v>
      </c>
      <c r="Q373">
        <v>258</v>
      </c>
      <c r="R373">
        <v>10</v>
      </c>
      <c r="S373">
        <v>30.661677480000002</v>
      </c>
      <c r="T373" t="s">
        <v>30</v>
      </c>
      <c r="U373">
        <v>2.078750608</v>
      </c>
      <c r="V373" t="s">
        <v>31</v>
      </c>
      <c r="W373" t="s">
        <v>48</v>
      </c>
      <c r="X373">
        <v>405.16706790000001</v>
      </c>
    </row>
    <row r="374" spans="1:24" x14ac:dyDescent="0.3">
      <c r="A374" t="s">
        <v>57</v>
      </c>
      <c r="B374" t="s">
        <v>126</v>
      </c>
      <c r="C374">
        <v>90.204427519999996</v>
      </c>
      <c r="D374">
        <v>88</v>
      </c>
      <c r="E374">
        <v>478</v>
      </c>
      <c r="F374">
        <v>2633.1219809999998</v>
      </c>
      <c r="G374" t="s">
        <v>26</v>
      </c>
      <c r="H374">
        <v>57</v>
      </c>
      <c r="I374">
        <v>29</v>
      </c>
      <c r="J374">
        <v>77</v>
      </c>
      <c r="K374">
        <v>9</v>
      </c>
      <c r="L374" t="s">
        <v>36</v>
      </c>
      <c r="M374">
        <v>6.5996141599999998</v>
      </c>
      <c r="N374" t="s">
        <v>39</v>
      </c>
      <c r="O374" t="s">
        <v>53</v>
      </c>
      <c r="P374">
        <v>21</v>
      </c>
      <c r="Q374">
        <v>152</v>
      </c>
      <c r="R374">
        <v>11</v>
      </c>
      <c r="S374">
        <v>55.760492900000003</v>
      </c>
      <c r="T374" t="s">
        <v>30</v>
      </c>
      <c r="U374">
        <v>3.2133296069999999</v>
      </c>
      <c r="V374" t="s">
        <v>47</v>
      </c>
      <c r="W374" t="s">
        <v>32</v>
      </c>
      <c r="X374">
        <v>677.94456979999995</v>
      </c>
    </row>
    <row r="375" spans="1:24" x14ac:dyDescent="0.3">
      <c r="A375" t="s">
        <v>57</v>
      </c>
      <c r="B375" t="s">
        <v>127</v>
      </c>
      <c r="C375">
        <v>83.851017679999998</v>
      </c>
      <c r="D375">
        <v>41</v>
      </c>
      <c r="E375">
        <v>375</v>
      </c>
      <c r="F375">
        <v>7910.8869160000004</v>
      </c>
      <c r="G375" t="s">
        <v>55</v>
      </c>
      <c r="H375">
        <v>17</v>
      </c>
      <c r="I375">
        <v>25</v>
      </c>
      <c r="J375">
        <v>66</v>
      </c>
      <c r="K375">
        <v>5</v>
      </c>
      <c r="L375" t="s">
        <v>27</v>
      </c>
      <c r="M375">
        <v>1.512936837</v>
      </c>
      <c r="N375" t="s">
        <v>52</v>
      </c>
      <c r="O375" t="s">
        <v>62</v>
      </c>
      <c r="P375">
        <v>13</v>
      </c>
      <c r="Q375">
        <v>444</v>
      </c>
      <c r="R375">
        <v>4</v>
      </c>
      <c r="S375">
        <v>46.870238800000003</v>
      </c>
      <c r="T375" t="s">
        <v>46</v>
      </c>
      <c r="U375">
        <v>4.6205460650000001</v>
      </c>
      <c r="V375" t="s">
        <v>31</v>
      </c>
      <c r="W375" t="s">
        <v>48</v>
      </c>
      <c r="X375">
        <v>866.47280009999997</v>
      </c>
    </row>
    <row r="376" spans="1:24" x14ac:dyDescent="0.3">
      <c r="A376" t="s">
        <v>24</v>
      </c>
      <c r="B376" t="s">
        <v>128</v>
      </c>
      <c r="C376">
        <v>3.1700114140000002</v>
      </c>
      <c r="D376">
        <v>64</v>
      </c>
      <c r="E376">
        <v>904</v>
      </c>
      <c r="F376">
        <v>5709.9452959999999</v>
      </c>
      <c r="G376" t="s">
        <v>35</v>
      </c>
      <c r="H376">
        <v>41</v>
      </c>
      <c r="I376">
        <v>6</v>
      </c>
      <c r="J376">
        <v>1</v>
      </c>
      <c r="K376">
        <v>5</v>
      </c>
      <c r="L376" t="s">
        <v>36</v>
      </c>
      <c r="M376">
        <v>5.2376546499999996</v>
      </c>
      <c r="N376" t="s">
        <v>52</v>
      </c>
      <c r="O376" t="s">
        <v>50</v>
      </c>
      <c r="P376">
        <v>1</v>
      </c>
      <c r="Q376">
        <v>919</v>
      </c>
      <c r="R376">
        <v>9</v>
      </c>
      <c r="S376">
        <v>80.580852160000006</v>
      </c>
      <c r="T376" t="s">
        <v>46</v>
      </c>
      <c r="U376">
        <v>0.39661272400000003</v>
      </c>
      <c r="V376" t="s">
        <v>47</v>
      </c>
      <c r="W376" t="s">
        <v>48</v>
      </c>
      <c r="X376">
        <v>341.55265680000002</v>
      </c>
    </row>
    <row r="377" spans="1:24" x14ac:dyDescent="0.3">
      <c r="A377" t="s">
        <v>33</v>
      </c>
      <c r="B377" t="s">
        <v>129</v>
      </c>
      <c r="C377">
        <v>92.996884230000006</v>
      </c>
      <c r="D377">
        <v>29</v>
      </c>
      <c r="E377">
        <v>106</v>
      </c>
      <c r="F377">
        <v>1889.07359</v>
      </c>
      <c r="G377" t="s">
        <v>26</v>
      </c>
      <c r="H377">
        <v>16</v>
      </c>
      <c r="I377">
        <v>20</v>
      </c>
      <c r="J377">
        <v>56</v>
      </c>
      <c r="K377">
        <v>10</v>
      </c>
      <c r="L377" t="s">
        <v>43</v>
      </c>
      <c r="M377">
        <v>2.4738977609999999</v>
      </c>
      <c r="N377" t="s">
        <v>39</v>
      </c>
      <c r="O377" t="s">
        <v>62</v>
      </c>
      <c r="P377">
        <v>25</v>
      </c>
      <c r="Q377">
        <v>759</v>
      </c>
      <c r="R377">
        <v>11</v>
      </c>
      <c r="S377">
        <v>48.064782639999997</v>
      </c>
      <c r="T377" t="s">
        <v>64</v>
      </c>
      <c r="U377">
        <v>2.0300690889999999</v>
      </c>
      <c r="V377" t="s">
        <v>40</v>
      </c>
      <c r="W377" t="s">
        <v>41</v>
      </c>
      <c r="X377">
        <v>873.12964799999997</v>
      </c>
    </row>
    <row r="378" spans="1:24" x14ac:dyDescent="0.3">
      <c r="A378" t="s">
        <v>24</v>
      </c>
      <c r="B378" t="s">
        <v>130</v>
      </c>
      <c r="C378">
        <v>69.108799550000001</v>
      </c>
      <c r="D378">
        <v>23</v>
      </c>
      <c r="E378">
        <v>241</v>
      </c>
      <c r="F378">
        <v>5328.3759840000002</v>
      </c>
      <c r="G378" t="s">
        <v>55</v>
      </c>
      <c r="H378">
        <v>38</v>
      </c>
      <c r="I378">
        <v>1</v>
      </c>
      <c r="J378">
        <v>22</v>
      </c>
      <c r="K378">
        <v>10</v>
      </c>
      <c r="L378" t="s">
        <v>36</v>
      </c>
      <c r="M378">
        <v>7.0545383370000003</v>
      </c>
      <c r="N378" t="s">
        <v>61</v>
      </c>
      <c r="O378" t="s">
        <v>53</v>
      </c>
      <c r="P378">
        <v>25</v>
      </c>
      <c r="Q378">
        <v>985</v>
      </c>
      <c r="R378">
        <v>24</v>
      </c>
      <c r="S378">
        <v>64.323597800000002</v>
      </c>
      <c r="T378" t="s">
        <v>30</v>
      </c>
      <c r="U378">
        <v>2.1800374520000001</v>
      </c>
      <c r="V378" t="s">
        <v>47</v>
      </c>
      <c r="W378" t="s">
        <v>48</v>
      </c>
      <c r="X378">
        <v>997.41345009999998</v>
      </c>
    </row>
    <row r="379" spans="1:24" x14ac:dyDescent="0.3">
      <c r="A379" t="s">
        <v>24</v>
      </c>
      <c r="B379" t="s">
        <v>131</v>
      </c>
      <c r="C379">
        <v>57.449742960000002</v>
      </c>
      <c r="D379">
        <v>14</v>
      </c>
      <c r="E379">
        <v>359</v>
      </c>
      <c r="F379">
        <v>2483.760178</v>
      </c>
      <c r="G379" t="s">
        <v>38</v>
      </c>
      <c r="H379">
        <v>96</v>
      </c>
      <c r="I379">
        <v>28</v>
      </c>
      <c r="J379">
        <v>57</v>
      </c>
      <c r="K379">
        <v>4</v>
      </c>
      <c r="L379" t="s">
        <v>27</v>
      </c>
      <c r="M379">
        <v>6.7809466260000004</v>
      </c>
      <c r="N379" t="s">
        <v>39</v>
      </c>
      <c r="O379" t="s">
        <v>45</v>
      </c>
      <c r="P379">
        <v>26</v>
      </c>
      <c r="Q379">
        <v>334</v>
      </c>
      <c r="R379">
        <v>5</v>
      </c>
      <c r="S379">
        <v>42.952444749999998</v>
      </c>
      <c r="T379" t="s">
        <v>64</v>
      </c>
      <c r="U379">
        <v>3.0551418180000001</v>
      </c>
      <c r="V379" t="s">
        <v>31</v>
      </c>
      <c r="W379" t="s">
        <v>32</v>
      </c>
      <c r="X379">
        <v>852.5680989</v>
      </c>
    </row>
    <row r="380" spans="1:24" x14ac:dyDescent="0.3">
      <c r="A380" t="s">
        <v>24</v>
      </c>
      <c r="B380" t="s">
        <v>132</v>
      </c>
      <c r="C380">
        <v>6.3068831760000004</v>
      </c>
      <c r="D380">
        <v>50</v>
      </c>
      <c r="E380">
        <v>946</v>
      </c>
      <c r="F380">
        <v>1292.4584179999999</v>
      </c>
      <c r="G380" t="s">
        <v>38</v>
      </c>
      <c r="H380">
        <v>5</v>
      </c>
      <c r="I380">
        <v>4</v>
      </c>
      <c r="J380">
        <v>51</v>
      </c>
      <c r="K380">
        <v>5</v>
      </c>
      <c r="L380" t="s">
        <v>27</v>
      </c>
      <c r="M380">
        <v>8.4670497709999992</v>
      </c>
      <c r="N380" t="s">
        <v>44</v>
      </c>
      <c r="O380" t="s">
        <v>29</v>
      </c>
      <c r="P380">
        <v>25</v>
      </c>
      <c r="Q380">
        <v>858</v>
      </c>
      <c r="R380">
        <v>21</v>
      </c>
      <c r="S380">
        <v>71.126514720000003</v>
      </c>
      <c r="T380" t="s">
        <v>30</v>
      </c>
      <c r="U380">
        <v>4.0968813319999997</v>
      </c>
      <c r="V380" t="s">
        <v>56</v>
      </c>
      <c r="W380" t="s">
        <v>41</v>
      </c>
      <c r="X380">
        <v>323.59220340000002</v>
      </c>
    </row>
    <row r="381" spans="1:24" x14ac:dyDescent="0.3">
      <c r="A381" t="s">
        <v>24</v>
      </c>
      <c r="B381" t="s">
        <v>133</v>
      </c>
      <c r="C381">
        <v>57.057031219999999</v>
      </c>
      <c r="D381">
        <v>56</v>
      </c>
      <c r="E381">
        <v>198</v>
      </c>
      <c r="F381">
        <v>7888.7232679999997</v>
      </c>
      <c r="G381" t="s">
        <v>26</v>
      </c>
      <c r="H381">
        <v>31</v>
      </c>
      <c r="I381">
        <v>25</v>
      </c>
      <c r="J381">
        <v>20</v>
      </c>
      <c r="K381">
        <v>1</v>
      </c>
      <c r="L381" t="s">
        <v>27</v>
      </c>
      <c r="M381">
        <v>6.4963253639999996</v>
      </c>
      <c r="N381" t="s">
        <v>28</v>
      </c>
      <c r="O381" t="s">
        <v>53</v>
      </c>
      <c r="P381">
        <v>5</v>
      </c>
      <c r="Q381">
        <v>228</v>
      </c>
      <c r="R381">
        <v>12</v>
      </c>
      <c r="S381">
        <v>57.870902919999999</v>
      </c>
      <c r="T381" t="s">
        <v>30</v>
      </c>
      <c r="U381">
        <v>0.16587162699999999</v>
      </c>
      <c r="V381" t="s">
        <v>40</v>
      </c>
      <c r="W381" t="s">
        <v>41</v>
      </c>
      <c r="X381">
        <v>351.50421929999999</v>
      </c>
    </row>
    <row r="382" spans="1:24" x14ac:dyDescent="0.3">
      <c r="A382" t="s">
        <v>33</v>
      </c>
      <c r="B382" t="s">
        <v>134</v>
      </c>
      <c r="C382">
        <v>91.128318350000001</v>
      </c>
      <c r="D382">
        <v>75</v>
      </c>
      <c r="E382">
        <v>872</v>
      </c>
      <c r="F382">
        <v>8651.6726830000007</v>
      </c>
      <c r="G382" t="s">
        <v>38</v>
      </c>
      <c r="H382">
        <v>39</v>
      </c>
      <c r="I382">
        <v>14</v>
      </c>
      <c r="J382">
        <v>41</v>
      </c>
      <c r="K382">
        <v>2</v>
      </c>
      <c r="L382" t="s">
        <v>43</v>
      </c>
      <c r="M382">
        <v>2.8331846789999999</v>
      </c>
      <c r="N382" t="s">
        <v>28</v>
      </c>
      <c r="O382" t="s">
        <v>62</v>
      </c>
      <c r="P382">
        <v>8</v>
      </c>
      <c r="Q382">
        <v>202</v>
      </c>
      <c r="R382">
        <v>5</v>
      </c>
      <c r="S382">
        <v>76.961228019999993</v>
      </c>
      <c r="T382" t="s">
        <v>46</v>
      </c>
      <c r="U382">
        <v>2.849662199</v>
      </c>
      <c r="V382" t="s">
        <v>56</v>
      </c>
      <c r="W382" t="s">
        <v>32</v>
      </c>
      <c r="X382">
        <v>787.77985049999995</v>
      </c>
    </row>
    <row r="383" spans="1:24" x14ac:dyDescent="0.3">
      <c r="A383" t="s">
        <v>24</v>
      </c>
      <c r="B383" t="s">
        <v>135</v>
      </c>
      <c r="C383">
        <v>72.819206930000007</v>
      </c>
      <c r="D383">
        <v>9</v>
      </c>
      <c r="E383">
        <v>774</v>
      </c>
      <c r="F383">
        <v>4384.4134000000004</v>
      </c>
      <c r="G383" t="s">
        <v>38</v>
      </c>
      <c r="H383">
        <v>48</v>
      </c>
      <c r="I383">
        <v>6</v>
      </c>
      <c r="J383">
        <v>8</v>
      </c>
      <c r="K383">
        <v>5</v>
      </c>
      <c r="L383" t="s">
        <v>27</v>
      </c>
      <c r="M383">
        <v>4.0662775020000002</v>
      </c>
      <c r="N383" t="s">
        <v>28</v>
      </c>
      <c r="O383" t="s">
        <v>50</v>
      </c>
      <c r="P383">
        <v>28</v>
      </c>
      <c r="Q383">
        <v>698</v>
      </c>
      <c r="R383">
        <v>1</v>
      </c>
      <c r="S383">
        <v>19.789592939999999</v>
      </c>
      <c r="T383" t="s">
        <v>30</v>
      </c>
      <c r="U383">
        <v>2.5475471220000001</v>
      </c>
      <c r="V383" t="s">
        <v>47</v>
      </c>
      <c r="W383" t="s">
        <v>32</v>
      </c>
      <c r="X383">
        <v>276.7783359</v>
      </c>
    </row>
    <row r="384" spans="1:24" x14ac:dyDescent="0.3">
      <c r="A384" t="s">
        <v>33</v>
      </c>
      <c r="B384" t="s">
        <v>136</v>
      </c>
      <c r="C384">
        <v>17.03493074</v>
      </c>
      <c r="D384">
        <v>13</v>
      </c>
      <c r="E384">
        <v>336</v>
      </c>
      <c r="F384">
        <v>2943.3818679999999</v>
      </c>
      <c r="G384" t="s">
        <v>38</v>
      </c>
      <c r="H384">
        <v>42</v>
      </c>
      <c r="I384">
        <v>19</v>
      </c>
      <c r="J384">
        <v>72</v>
      </c>
      <c r="K384">
        <v>1</v>
      </c>
      <c r="L384" t="s">
        <v>36</v>
      </c>
      <c r="M384">
        <v>4.7081818740000001</v>
      </c>
      <c r="N384" t="s">
        <v>61</v>
      </c>
      <c r="O384" t="s">
        <v>29</v>
      </c>
      <c r="P384">
        <v>6</v>
      </c>
      <c r="Q384">
        <v>955</v>
      </c>
      <c r="R384">
        <v>26</v>
      </c>
      <c r="S384">
        <v>4.4652784350000001</v>
      </c>
      <c r="T384" t="s">
        <v>30</v>
      </c>
      <c r="U384">
        <v>4.1378770490000001</v>
      </c>
      <c r="V384" t="s">
        <v>31</v>
      </c>
      <c r="W384" t="s">
        <v>41</v>
      </c>
      <c r="X384">
        <v>589.97855560000005</v>
      </c>
    </row>
    <row r="385" spans="1:24" x14ac:dyDescent="0.3">
      <c r="A385" t="s">
        <v>24</v>
      </c>
      <c r="B385" t="s">
        <v>137</v>
      </c>
      <c r="C385">
        <v>68.911246210000002</v>
      </c>
      <c r="D385">
        <v>82</v>
      </c>
      <c r="E385">
        <v>663</v>
      </c>
      <c r="F385">
        <v>2411.7546320000001</v>
      </c>
      <c r="G385" t="s">
        <v>38</v>
      </c>
      <c r="H385">
        <v>65</v>
      </c>
      <c r="I385">
        <v>24</v>
      </c>
      <c r="J385">
        <v>7</v>
      </c>
      <c r="K385">
        <v>8</v>
      </c>
      <c r="L385" t="s">
        <v>27</v>
      </c>
      <c r="M385">
        <v>4.9498395779999997</v>
      </c>
      <c r="N385" t="s">
        <v>39</v>
      </c>
      <c r="O385" t="s">
        <v>53</v>
      </c>
      <c r="P385">
        <v>20</v>
      </c>
      <c r="Q385">
        <v>443</v>
      </c>
      <c r="R385">
        <v>5</v>
      </c>
      <c r="S385">
        <v>97.730593799999994</v>
      </c>
      <c r="T385" t="s">
        <v>46</v>
      </c>
      <c r="U385">
        <v>0.77300613399999996</v>
      </c>
      <c r="V385" t="s">
        <v>31</v>
      </c>
      <c r="W385" t="s">
        <v>48</v>
      </c>
      <c r="X385">
        <v>682.9710182</v>
      </c>
    </row>
    <row r="386" spans="1:24" x14ac:dyDescent="0.3">
      <c r="A386" t="s">
        <v>24</v>
      </c>
      <c r="B386" t="s">
        <v>138</v>
      </c>
      <c r="C386">
        <v>89.104367289999999</v>
      </c>
      <c r="D386">
        <v>99</v>
      </c>
      <c r="E386">
        <v>618</v>
      </c>
      <c r="F386">
        <v>2048.2901000000002</v>
      </c>
      <c r="G386" t="s">
        <v>38</v>
      </c>
      <c r="H386">
        <v>73</v>
      </c>
      <c r="I386">
        <v>26</v>
      </c>
      <c r="J386">
        <v>80</v>
      </c>
      <c r="K386">
        <v>10</v>
      </c>
      <c r="L386" t="s">
        <v>36</v>
      </c>
      <c r="M386">
        <v>8.3816156250000002</v>
      </c>
      <c r="N386" t="s">
        <v>44</v>
      </c>
      <c r="O386" t="s">
        <v>62</v>
      </c>
      <c r="P386">
        <v>24</v>
      </c>
      <c r="Q386">
        <v>589</v>
      </c>
      <c r="R386">
        <v>22</v>
      </c>
      <c r="S386">
        <v>33.808636509999999</v>
      </c>
      <c r="T386" t="s">
        <v>64</v>
      </c>
      <c r="U386">
        <v>4.8434565770000004</v>
      </c>
      <c r="V386" t="s">
        <v>40</v>
      </c>
      <c r="W386" t="s">
        <v>32</v>
      </c>
      <c r="X386">
        <v>465.45700599999998</v>
      </c>
    </row>
    <row r="387" spans="1:24" x14ac:dyDescent="0.3">
      <c r="A387" t="s">
        <v>57</v>
      </c>
      <c r="B387" t="s">
        <v>139</v>
      </c>
      <c r="C387">
        <v>76.962994420000001</v>
      </c>
      <c r="D387">
        <v>83</v>
      </c>
      <c r="E387">
        <v>25</v>
      </c>
      <c r="F387">
        <v>8684.6130589999993</v>
      </c>
      <c r="G387" t="s">
        <v>35</v>
      </c>
      <c r="H387">
        <v>15</v>
      </c>
      <c r="I387">
        <v>18</v>
      </c>
      <c r="J387">
        <v>66</v>
      </c>
      <c r="K387">
        <v>2</v>
      </c>
      <c r="L387" t="s">
        <v>43</v>
      </c>
      <c r="M387">
        <v>8.2491687050000007</v>
      </c>
      <c r="N387" t="s">
        <v>44</v>
      </c>
      <c r="O387" t="s">
        <v>62</v>
      </c>
      <c r="P387">
        <v>4</v>
      </c>
      <c r="Q387">
        <v>211</v>
      </c>
      <c r="R387">
        <v>2</v>
      </c>
      <c r="S387">
        <v>69.929345519999998</v>
      </c>
      <c r="T387" t="s">
        <v>46</v>
      </c>
      <c r="U387">
        <v>1.3744289999999999</v>
      </c>
      <c r="V387" t="s">
        <v>31</v>
      </c>
      <c r="W387" t="s">
        <v>32</v>
      </c>
      <c r="X387">
        <v>842.68682999999999</v>
      </c>
    </row>
    <row r="388" spans="1:24" x14ac:dyDescent="0.3">
      <c r="A388" t="s">
        <v>33</v>
      </c>
      <c r="B388" t="s">
        <v>140</v>
      </c>
      <c r="C388">
        <v>19.99817694</v>
      </c>
      <c r="D388">
        <v>18</v>
      </c>
      <c r="E388">
        <v>223</v>
      </c>
      <c r="F388">
        <v>1229.5910289999999</v>
      </c>
      <c r="G388" t="s">
        <v>38</v>
      </c>
      <c r="H388">
        <v>32</v>
      </c>
      <c r="I388">
        <v>14</v>
      </c>
      <c r="J388">
        <v>22</v>
      </c>
      <c r="K388">
        <v>6</v>
      </c>
      <c r="L388" t="s">
        <v>27</v>
      </c>
      <c r="M388">
        <v>1.4543053100000001</v>
      </c>
      <c r="N388" t="s">
        <v>39</v>
      </c>
      <c r="O388" t="s">
        <v>29</v>
      </c>
      <c r="P388">
        <v>4</v>
      </c>
      <c r="Q388">
        <v>569</v>
      </c>
      <c r="R388">
        <v>18</v>
      </c>
      <c r="S388">
        <v>74.608969999999999</v>
      </c>
      <c r="T388" t="s">
        <v>64</v>
      </c>
      <c r="U388">
        <v>2.051512931</v>
      </c>
      <c r="V388" t="s">
        <v>47</v>
      </c>
      <c r="W388" t="s">
        <v>48</v>
      </c>
      <c r="X388">
        <v>264.2548898</v>
      </c>
    </row>
    <row r="389" spans="1:24" x14ac:dyDescent="0.3">
      <c r="A389" t="s">
        <v>24</v>
      </c>
      <c r="B389" t="s">
        <v>141</v>
      </c>
      <c r="C389">
        <v>80.41403665</v>
      </c>
      <c r="D389">
        <v>24</v>
      </c>
      <c r="E389">
        <v>79</v>
      </c>
      <c r="F389">
        <v>5133.8467010000004</v>
      </c>
      <c r="G389" t="s">
        <v>55</v>
      </c>
      <c r="H389">
        <v>5</v>
      </c>
      <c r="I389">
        <v>7</v>
      </c>
      <c r="J389">
        <v>55</v>
      </c>
      <c r="K389">
        <v>10</v>
      </c>
      <c r="L389" t="s">
        <v>36</v>
      </c>
      <c r="M389">
        <v>6.5758037979999999</v>
      </c>
      <c r="N389" t="s">
        <v>28</v>
      </c>
      <c r="O389" t="s">
        <v>62</v>
      </c>
      <c r="P389">
        <v>27</v>
      </c>
      <c r="Q389">
        <v>523</v>
      </c>
      <c r="R389">
        <v>17</v>
      </c>
      <c r="S389">
        <v>28.696996819999999</v>
      </c>
      <c r="T389" t="s">
        <v>46</v>
      </c>
      <c r="U389">
        <v>3.693737788</v>
      </c>
      <c r="V389" t="s">
        <v>56</v>
      </c>
      <c r="W389" t="s">
        <v>32</v>
      </c>
      <c r="X389">
        <v>879.35921770000004</v>
      </c>
    </row>
    <row r="390" spans="1:24" x14ac:dyDescent="0.3">
      <c r="A390" t="s">
        <v>57</v>
      </c>
      <c r="B390" t="s">
        <v>142</v>
      </c>
      <c r="C390">
        <v>75.270406980000004</v>
      </c>
      <c r="D390">
        <v>58</v>
      </c>
      <c r="E390">
        <v>737</v>
      </c>
      <c r="F390">
        <v>9444.7420330000004</v>
      </c>
      <c r="G390" t="s">
        <v>55</v>
      </c>
      <c r="H390">
        <v>60</v>
      </c>
      <c r="I390">
        <v>18</v>
      </c>
      <c r="J390">
        <v>85</v>
      </c>
      <c r="K390">
        <v>7</v>
      </c>
      <c r="L390" t="s">
        <v>36</v>
      </c>
      <c r="M390">
        <v>3.8012531329999999</v>
      </c>
      <c r="N390" t="s">
        <v>61</v>
      </c>
      <c r="O390" t="s">
        <v>29</v>
      </c>
      <c r="P390">
        <v>21</v>
      </c>
      <c r="Q390">
        <v>953</v>
      </c>
      <c r="R390">
        <v>11</v>
      </c>
      <c r="S390">
        <v>68.184919059999999</v>
      </c>
      <c r="T390" t="s">
        <v>30</v>
      </c>
      <c r="U390">
        <v>0.72220440200000002</v>
      </c>
      <c r="V390" t="s">
        <v>56</v>
      </c>
      <c r="W390" t="s">
        <v>48</v>
      </c>
      <c r="X390">
        <v>103.916248</v>
      </c>
    </row>
    <row r="391" spans="1:24" x14ac:dyDescent="0.3">
      <c r="A391" t="s">
        <v>57</v>
      </c>
      <c r="B391" t="s">
        <v>143</v>
      </c>
      <c r="C391">
        <v>97.760085579999995</v>
      </c>
      <c r="D391">
        <v>10</v>
      </c>
      <c r="E391">
        <v>134</v>
      </c>
      <c r="F391">
        <v>5924.6825669999998</v>
      </c>
      <c r="G391" t="s">
        <v>38</v>
      </c>
      <c r="H391">
        <v>90</v>
      </c>
      <c r="I391">
        <v>1</v>
      </c>
      <c r="J391">
        <v>27</v>
      </c>
      <c r="K391">
        <v>8</v>
      </c>
      <c r="L391" t="s">
        <v>27</v>
      </c>
      <c r="M391">
        <v>9.9298162449999996</v>
      </c>
      <c r="N391" t="s">
        <v>39</v>
      </c>
      <c r="O391" t="s">
        <v>45</v>
      </c>
      <c r="P391">
        <v>23</v>
      </c>
      <c r="Q391">
        <v>370</v>
      </c>
      <c r="R391">
        <v>11</v>
      </c>
      <c r="S391">
        <v>46.603873380000003</v>
      </c>
      <c r="T391" t="s">
        <v>30</v>
      </c>
      <c r="U391">
        <v>1.9076657340000001</v>
      </c>
      <c r="V391" t="s">
        <v>47</v>
      </c>
      <c r="W391" t="s">
        <v>32</v>
      </c>
      <c r="X391">
        <v>517.49997389999999</v>
      </c>
    </row>
    <row r="392" spans="1:24" x14ac:dyDescent="0.3">
      <c r="A392" t="s">
        <v>33</v>
      </c>
      <c r="B392" t="s">
        <v>144</v>
      </c>
      <c r="C392">
        <v>13.8819135</v>
      </c>
      <c r="D392">
        <v>56</v>
      </c>
      <c r="E392">
        <v>320</v>
      </c>
      <c r="F392">
        <v>9592.63357</v>
      </c>
      <c r="G392" t="s">
        <v>26</v>
      </c>
      <c r="H392">
        <v>66</v>
      </c>
      <c r="I392">
        <v>18</v>
      </c>
      <c r="J392">
        <v>96</v>
      </c>
      <c r="K392">
        <v>7</v>
      </c>
      <c r="L392" t="s">
        <v>27</v>
      </c>
      <c r="M392">
        <v>7.674430708</v>
      </c>
      <c r="N392" t="s">
        <v>28</v>
      </c>
      <c r="O392" t="s">
        <v>53</v>
      </c>
      <c r="P392">
        <v>8</v>
      </c>
      <c r="Q392">
        <v>585</v>
      </c>
      <c r="R392">
        <v>8</v>
      </c>
      <c r="S392">
        <v>85.675963339999996</v>
      </c>
      <c r="T392" t="s">
        <v>64</v>
      </c>
      <c r="U392">
        <v>1.2193822240000001</v>
      </c>
      <c r="V392" t="s">
        <v>47</v>
      </c>
      <c r="W392" t="s">
        <v>32</v>
      </c>
      <c r="X392">
        <v>990.07847249999998</v>
      </c>
    </row>
    <row r="393" spans="1:24" x14ac:dyDescent="0.3">
      <c r="A393" t="s">
        <v>57</v>
      </c>
      <c r="B393" t="s">
        <v>145</v>
      </c>
      <c r="C393">
        <v>62.11196546</v>
      </c>
      <c r="D393">
        <v>90</v>
      </c>
      <c r="E393">
        <v>916</v>
      </c>
      <c r="F393">
        <v>1935.2067939999999</v>
      </c>
      <c r="G393" t="s">
        <v>55</v>
      </c>
      <c r="H393">
        <v>98</v>
      </c>
      <c r="I393">
        <v>22</v>
      </c>
      <c r="J393">
        <v>85</v>
      </c>
      <c r="K393">
        <v>7</v>
      </c>
      <c r="L393" t="s">
        <v>27</v>
      </c>
      <c r="M393">
        <v>7.4715140839999998</v>
      </c>
      <c r="N393" t="s">
        <v>52</v>
      </c>
      <c r="O393" t="s">
        <v>50</v>
      </c>
      <c r="P393">
        <v>5</v>
      </c>
      <c r="Q393">
        <v>207</v>
      </c>
      <c r="R393">
        <v>28</v>
      </c>
      <c r="S393">
        <v>39.772882500000001</v>
      </c>
      <c r="T393" t="s">
        <v>30</v>
      </c>
      <c r="U393">
        <v>0.62600185799999997</v>
      </c>
      <c r="V393" t="s">
        <v>47</v>
      </c>
      <c r="W393" t="s">
        <v>32</v>
      </c>
      <c r="X393">
        <v>996.77831500000002</v>
      </c>
    </row>
    <row r="394" spans="1:24" x14ac:dyDescent="0.3">
      <c r="A394" t="s">
        <v>57</v>
      </c>
      <c r="B394" t="s">
        <v>146</v>
      </c>
      <c r="C394">
        <v>47.71423308</v>
      </c>
      <c r="D394">
        <v>44</v>
      </c>
      <c r="E394">
        <v>276</v>
      </c>
      <c r="F394">
        <v>2100.1297549999999</v>
      </c>
      <c r="G394" t="s">
        <v>55</v>
      </c>
      <c r="H394">
        <v>90</v>
      </c>
      <c r="I394">
        <v>25</v>
      </c>
      <c r="J394">
        <v>10</v>
      </c>
      <c r="K394">
        <v>8</v>
      </c>
      <c r="L394" t="s">
        <v>27</v>
      </c>
      <c r="M394">
        <v>4.4695000260000004</v>
      </c>
      <c r="N394" t="s">
        <v>61</v>
      </c>
      <c r="O394" t="s">
        <v>29</v>
      </c>
      <c r="P394">
        <v>4</v>
      </c>
      <c r="Q394">
        <v>671</v>
      </c>
      <c r="R394">
        <v>29</v>
      </c>
      <c r="S394">
        <v>62.612690399999998</v>
      </c>
      <c r="T394" t="s">
        <v>64</v>
      </c>
      <c r="U394">
        <v>0.33343182500000002</v>
      </c>
      <c r="V394" t="s">
        <v>47</v>
      </c>
      <c r="W394" t="s">
        <v>32</v>
      </c>
      <c r="X394">
        <v>230.0927825</v>
      </c>
    </row>
    <row r="395" spans="1:24" x14ac:dyDescent="0.3">
      <c r="A395" t="s">
        <v>24</v>
      </c>
      <c r="B395" t="s">
        <v>147</v>
      </c>
      <c r="C395">
        <v>69.290830999999997</v>
      </c>
      <c r="D395">
        <v>88</v>
      </c>
      <c r="E395">
        <v>114</v>
      </c>
      <c r="F395">
        <v>4531.4021339999999</v>
      </c>
      <c r="G395" t="s">
        <v>38</v>
      </c>
      <c r="H395">
        <v>63</v>
      </c>
      <c r="I395">
        <v>17</v>
      </c>
      <c r="J395">
        <v>66</v>
      </c>
      <c r="K395">
        <v>1</v>
      </c>
      <c r="L395" t="s">
        <v>43</v>
      </c>
      <c r="M395">
        <v>7.0064320589999998</v>
      </c>
      <c r="N395" t="s">
        <v>52</v>
      </c>
      <c r="O395" t="s">
        <v>62</v>
      </c>
      <c r="P395">
        <v>21</v>
      </c>
      <c r="Q395">
        <v>824</v>
      </c>
      <c r="R395">
        <v>20</v>
      </c>
      <c r="S395">
        <v>35.633652339999998</v>
      </c>
      <c r="T395" t="s">
        <v>46</v>
      </c>
      <c r="U395">
        <v>4.165781795</v>
      </c>
      <c r="V395" t="s">
        <v>40</v>
      </c>
      <c r="W395" t="s">
        <v>48</v>
      </c>
      <c r="X395">
        <v>823.52384589999997</v>
      </c>
    </row>
    <row r="396" spans="1:24" x14ac:dyDescent="0.3">
      <c r="A396" t="s">
        <v>57</v>
      </c>
      <c r="B396" t="s">
        <v>148</v>
      </c>
      <c r="C396">
        <v>3.0376887250000002</v>
      </c>
      <c r="D396">
        <v>97</v>
      </c>
      <c r="E396">
        <v>987</v>
      </c>
      <c r="F396">
        <v>7888.3565470000003</v>
      </c>
      <c r="G396" t="s">
        <v>38</v>
      </c>
      <c r="H396">
        <v>77</v>
      </c>
      <c r="I396">
        <v>26</v>
      </c>
      <c r="J396">
        <v>72</v>
      </c>
      <c r="K396">
        <v>9</v>
      </c>
      <c r="L396" t="s">
        <v>27</v>
      </c>
      <c r="M396">
        <v>6.9429459419999997</v>
      </c>
      <c r="N396" t="s">
        <v>61</v>
      </c>
      <c r="O396" t="s">
        <v>50</v>
      </c>
      <c r="P396">
        <v>12</v>
      </c>
      <c r="Q396">
        <v>908</v>
      </c>
      <c r="R396">
        <v>14</v>
      </c>
      <c r="S396">
        <v>60.387378609999999</v>
      </c>
      <c r="T396" t="s">
        <v>64</v>
      </c>
      <c r="U396">
        <v>1.463607498</v>
      </c>
      <c r="V396" t="s">
        <v>47</v>
      </c>
      <c r="W396" t="s">
        <v>32</v>
      </c>
      <c r="X396">
        <v>846.665257</v>
      </c>
    </row>
    <row r="397" spans="1:24" x14ac:dyDescent="0.3">
      <c r="A397" t="s">
        <v>24</v>
      </c>
      <c r="B397" t="s">
        <v>149</v>
      </c>
      <c r="C397">
        <v>77.90392722</v>
      </c>
      <c r="D397">
        <v>65</v>
      </c>
      <c r="E397">
        <v>672</v>
      </c>
      <c r="F397">
        <v>7386.3639439999997</v>
      </c>
      <c r="G397" t="s">
        <v>38</v>
      </c>
      <c r="H397">
        <v>15</v>
      </c>
      <c r="I397">
        <v>14</v>
      </c>
      <c r="J397">
        <v>26</v>
      </c>
      <c r="K397">
        <v>9</v>
      </c>
      <c r="L397" t="s">
        <v>27</v>
      </c>
      <c r="M397">
        <v>8.6303388699999992</v>
      </c>
      <c r="N397" t="s">
        <v>52</v>
      </c>
      <c r="O397" t="s">
        <v>29</v>
      </c>
      <c r="P397">
        <v>18</v>
      </c>
      <c r="Q397">
        <v>450</v>
      </c>
      <c r="R397">
        <v>26</v>
      </c>
      <c r="S397">
        <v>58.890685769999997</v>
      </c>
      <c r="T397" t="s">
        <v>30</v>
      </c>
      <c r="U397">
        <v>1.2108821299999999</v>
      </c>
      <c r="V397" t="s">
        <v>40</v>
      </c>
      <c r="W397" t="s">
        <v>48</v>
      </c>
      <c r="X397">
        <v>778.86424139999997</v>
      </c>
    </row>
    <row r="398" spans="1:24" x14ac:dyDescent="0.3">
      <c r="A398" t="s">
        <v>57</v>
      </c>
      <c r="B398" t="s">
        <v>150</v>
      </c>
      <c r="C398">
        <v>24.423131420000001</v>
      </c>
      <c r="D398">
        <v>29</v>
      </c>
      <c r="E398">
        <v>324</v>
      </c>
      <c r="F398">
        <v>7698.4247660000001</v>
      </c>
      <c r="G398" t="s">
        <v>26</v>
      </c>
      <c r="H398">
        <v>67</v>
      </c>
      <c r="I398">
        <v>2</v>
      </c>
      <c r="J398">
        <v>32</v>
      </c>
      <c r="K398">
        <v>3</v>
      </c>
      <c r="L398" t="s">
        <v>43</v>
      </c>
      <c r="M398">
        <v>5.3528780439999997</v>
      </c>
      <c r="N398" t="s">
        <v>28</v>
      </c>
      <c r="O398" t="s">
        <v>29</v>
      </c>
      <c r="P398">
        <v>28</v>
      </c>
      <c r="Q398">
        <v>648</v>
      </c>
      <c r="R398">
        <v>28</v>
      </c>
      <c r="S398">
        <v>17.803756329999999</v>
      </c>
      <c r="T398" t="s">
        <v>30</v>
      </c>
      <c r="U398">
        <v>3.8720476810000002</v>
      </c>
      <c r="V398" t="s">
        <v>31</v>
      </c>
      <c r="W398" t="s">
        <v>48</v>
      </c>
      <c r="X398">
        <v>188.7421411</v>
      </c>
    </row>
    <row r="399" spans="1:24" x14ac:dyDescent="0.3">
      <c r="A399" t="s">
        <v>24</v>
      </c>
      <c r="B399" t="s">
        <v>151</v>
      </c>
      <c r="C399">
        <v>3.5261112589999999</v>
      </c>
      <c r="D399">
        <v>56</v>
      </c>
      <c r="E399">
        <v>62</v>
      </c>
      <c r="F399">
        <v>4370.9165800000001</v>
      </c>
      <c r="G399" t="s">
        <v>55</v>
      </c>
      <c r="H399">
        <v>46</v>
      </c>
      <c r="I399">
        <v>19</v>
      </c>
      <c r="J399">
        <v>4</v>
      </c>
      <c r="K399">
        <v>9</v>
      </c>
      <c r="L399" t="s">
        <v>36</v>
      </c>
      <c r="M399">
        <v>7.9048456109999998</v>
      </c>
      <c r="N399" t="s">
        <v>52</v>
      </c>
      <c r="O399" t="s">
        <v>29</v>
      </c>
      <c r="P399">
        <v>10</v>
      </c>
      <c r="Q399">
        <v>535</v>
      </c>
      <c r="R399">
        <v>13</v>
      </c>
      <c r="S399">
        <v>65.765155930000006</v>
      </c>
      <c r="T399" t="s">
        <v>46</v>
      </c>
      <c r="U399">
        <v>3.376237835</v>
      </c>
      <c r="V399" t="s">
        <v>31</v>
      </c>
      <c r="W399" t="s">
        <v>48</v>
      </c>
      <c r="X399">
        <v>540.13242290000005</v>
      </c>
    </row>
    <row r="400" spans="1:24" x14ac:dyDescent="0.3">
      <c r="A400" t="s">
        <v>33</v>
      </c>
      <c r="B400" t="s">
        <v>152</v>
      </c>
      <c r="C400">
        <v>19.754604870000001</v>
      </c>
      <c r="D400">
        <v>43</v>
      </c>
      <c r="E400">
        <v>913</v>
      </c>
      <c r="F400">
        <v>8525.9525599999997</v>
      </c>
      <c r="G400" t="s">
        <v>35</v>
      </c>
      <c r="H400">
        <v>53</v>
      </c>
      <c r="I400">
        <v>1</v>
      </c>
      <c r="J400">
        <v>27</v>
      </c>
      <c r="K400">
        <v>7</v>
      </c>
      <c r="L400" t="s">
        <v>27</v>
      </c>
      <c r="M400">
        <v>1.4098010949999999</v>
      </c>
      <c r="N400" t="s">
        <v>44</v>
      </c>
      <c r="O400" t="s">
        <v>62</v>
      </c>
      <c r="P400">
        <v>28</v>
      </c>
      <c r="Q400">
        <v>581</v>
      </c>
      <c r="R400">
        <v>9</v>
      </c>
      <c r="S400">
        <v>5.6046908640000002</v>
      </c>
      <c r="T400" t="s">
        <v>30</v>
      </c>
      <c r="U400">
        <v>2.9081221689999999</v>
      </c>
      <c r="V400" t="s">
        <v>47</v>
      </c>
      <c r="W400" t="s">
        <v>48</v>
      </c>
      <c r="X400">
        <v>882.19886350000002</v>
      </c>
    </row>
    <row r="401" spans="1:24" x14ac:dyDescent="0.3">
      <c r="A401" t="s">
        <v>24</v>
      </c>
      <c r="B401" t="s">
        <v>153</v>
      </c>
      <c r="C401">
        <v>68.5178327</v>
      </c>
      <c r="D401">
        <v>17</v>
      </c>
      <c r="E401">
        <v>627</v>
      </c>
      <c r="F401">
        <v>9185.185829</v>
      </c>
      <c r="G401" t="s">
        <v>38</v>
      </c>
      <c r="H401">
        <v>55</v>
      </c>
      <c r="I401">
        <v>8</v>
      </c>
      <c r="J401">
        <v>59</v>
      </c>
      <c r="K401">
        <v>6</v>
      </c>
      <c r="L401" t="s">
        <v>27</v>
      </c>
      <c r="M401">
        <v>1.311023756</v>
      </c>
      <c r="N401" t="s">
        <v>61</v>
      </c>
      <c r="O401" t="s">
        <v>62</v>
      </c>
      <c r="P401">
        <v>29</v>
      </c>
      <c r="Q401">
        <v>921</v>
      </c>
      <c r="R401">
        <v>2</v>
      </c>
      <c r="S401">
        <v>38.072898520000003</v>
      </c>
      <c r="T401" t="s">
        <v>46</v>
      </c>
      <c r="U401">
        <v>0.34602729100000001</v>
      </c>
      <c r="V401" t="s">
        <v>47</v>
      </c>
      <c r="W401" t="s">
        <v>32</v>
      </c>
      <c r="X401">
        <v>210.743009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1F3D-2BCE-4370-B1D2-B7763DD7C6AB}">
  <dimension ref="A3:D29"/>
  <sheetViews>
    <sheetView workbookViewId="0">
      <selection activeCell="C27" sqref="C27"/>
    </sheetView>
  </sheetViews>
  <sheetFormatPr defaultRowHeight="14.4" x14ac:dyDescent="0.3"/>
  <cols>
    <col min="1" max="1" width="14.109375" bestFit="1" customWidth="1"/>
    <col min="2" max="2" width="30.33203125" bestFit="1" customWidth="1"/>
  </cols>
  <sheetData>
    <row r="3" spans="1:4" x14ac:dyDescent="0.3">
      <c r="A3" s="1" t="s">
        <v>154</v>
      </c>
      <c r="B3" t="s">
        <v>155</v>
      </c>
    </row>
    <row r="4" spans="1:4" x14ac:dyDescent="0.3">
      <c r="A4" s="2" t="s">
        <v>53</v>
      </c>
      <c r="B4">
        <v>72</v>
      </c>
    </row>
    <row r="5" spans="1:4" x14ac:dyDescent="0.3">
      <c r="A5" s="3" t="s">
        <v>35</v>
      </c>
      <c r="B5">
        <v>20</v>
      </c>
    </row>
    <row r="6" spans="1:4" x14ac:dyDescent="0.3">
      <c r="A6" s="3" t="s">
        <v>55</v>
      </c>
      <c r="B6">
        <v>20</v>
      </c>
      <c r="D6">
        <f>SUM(B5:B7)</f>
        <v>68</v>
      </c>
    </row>
    <row r="7" spans="1:4" x14ac:dyDescent="0.3">
      <c r="A7" s="3" t="s">
        <v>26</v>
      </c>
      <c r="B7">
        <v>28</v>
      </c>
    </row>
    <row r="8" spans="1:4" x14ac:dyDescent="0.3">
      <c r="A8" s="3" t="s">
        <v>38</v>
      </c>
      <c r="B8">
        <v>4</v>
      </c>
    </row>
    <row r="9" spans="1:4" x14ac:dyDescent="0.3">
      <c r="A9" s="2" t="s">
        <v>62</v>
      </c>
      <c r="B9">
        <v>80</v>
      </c>
    </row>
    <row r="10" spans="1:4" x14ac:dyDescent="0.3">
      <c r="A10" s="3" t="s">
        <v>35</v>
      </c>
      <c r="B10">
        <v>16</v>
      </c>
    </row>
    <row r="11" spans="1:4" x14ac:dyDescent="0.3">
      <c r="A11" s="3" t="s">
        <v>55</v>
      </c>
      <c r="B11">
        <v>16</v>
      </c>
    </row>
    <row r="12" spans="1:4" x14ac:dyDescent="0.3">
      <c r="A12" s="3" t="s">
        <v>26</v>
      </c>
      <c r="B12">
        <v>12</v>
      </c>
    </row>
    <row r="13" spans="1:4" x14ac:dyDescent="0.3">
      <c r="A13" s="3" t="s">
        <v>38</v>
      </c>
      <c r="B13">
        <v>36</v>
      </c>
    </row>
    <row r="14" spans="1:4" x14ac:dyDescent="0.3">
      <c r="A14" s="2" t="s">
        <v>50</v>
      </c>
      <c r="B14">
        <v>60</v>
      </c>
    </row>
    <row r="15" spans="1:4" x14ac:dyDescent="0.3">
      <c r="A15" s="3" t="s">
        <v>35</v>
      </c>
      <c r="B15">
        <v>24</v>
      </c>
    </row>
    <row r="16" spans="1:4" x14ac:dyDescent="0.3">
      <c r="A16" s="3" t="s">
        <v>55</v>
      </c>
      <c r="B16">
        <v>12</v>
      </c>
    </row>
    <row r="17" spans="1:2" x14ac:dyDescent="0.3">
      <c r="A17" s="3" t="s">
        <v>26</v>
      </c>
      <c r="B17">
        <v>8</v>
      </c>
    </row>
    <row r="18" spans="1:2" x14ac:dyDescent="0.3">
      <c r="A18" s="3" t="s">
        <v>38</v>
      </c>
      <c r="B18">
        <v>16</v>
      </c>
    </row>
    <row r="19" spans="1:2" x14ac:dyDescent="0.3">
      <c r="A19" s="2" t="s">
        <v>45</v>
      </c>
      <c r="B19">
        <v>100</v>
      </c>
    </row>
    <row r="20" spans="1:2" x14ac:dyDescent="0.3">
      <c r="A20" s="3" t="s">
        <v>35</v>
      </c>
      <c r="B20">
        <v>24</v>
      </c>
    </row>
    <row r="21" spans="1:2" x14ac:dyDescent="0.3">
      <c r="A21" s="3" t="s">
        <v>55</v>
      </c>
      <c r="B21">
        <v>20</v>
      </c>
    </row>
    <row r="22" spans="1:2" x14ac:dyDescent="0.3">
      <c r="A22" s="3" t="s">
        <v>26</v>
      </c>
      <c r="B22">
        <v>24</v>
      </c>
    </row>
    <row r="23" spans="1:2" x14ac:dyDescent="0.3">
      <c r="A23" s="3" t="s">
        <v>38</v>
      </c>
      <c r="B23">
        <v>32</v>
      </c>
    </row>
    <row r="24" spans="1:2" x14ac:dyDescent="0.3">
      <c r="A24" s="2" t="s">
        <v>29</v>
      </c>
      <c r="B24">
        <v>88</v>
      </c>
    </row>
    <row r="25" spans="1:2" x14ac:dyDescent="0.3">
      <c r="A25" s="3" t="s">
        <v>35</v>
      </c>
      <c r="B25">
        <v>16</v>
      </c>
    </row>
    <row r="26" spans="1:2" x14ac:dyDescent="0.3">
      <c r="A26" s="3" t="s">
        <v>55</v>
      </c>
      <c r="B26">
        <v>16</v>
      </c>
    </row>
    <row r="27" spans="1:2" x14ac:dyDescent="0.3">
      <c r="A27" s="3" t="s">
        <v>26</v>
      </c>
      <c r="B27">
        <v>20</v>
      </c>
    </row>
    <row r="28" spans="1:2" x14ac:dyDescent="0.3">
      <c r="A28" s="3" t="s">
        <v>38</v>
      </c>
      <c r="B28">
        <v>36</v>
      </c>
    </row>
    <row r="29" spans="1:2" x14ac:dyDescent="0.3">
      <c r="A29" s="2" t="s">
        <v>156</v>
      </c>
      <c r="B2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project_supply_chain_data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 panchal</dc:creator>
  <cp:lastModifiedBy>akshar panchal</cp:lastModifiedBy>
  <dcterms:created xsi:type="dcterms:W3CDTF">2025-12-30T10:37:50Z</dcterms:created>
  <dcterms:modified xsi:type="dcterms:W3CDTF">2025-12-30T13:50:37Z</dcterms:modified>
</cp:coreProperties>
</file>